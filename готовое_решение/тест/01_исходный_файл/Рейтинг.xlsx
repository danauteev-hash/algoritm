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menov.me\Downloads\"/>
    </mc:Choice>
  </mc:AlternateContent>
  <bookViews>
    <workbookView xWindow="0" yWindow="0" windowWidth="28800" windowHeight="12300" firstSheet="1" activeTab="1"/>
  </bookViews>
  <sheets>
    <sheet name="ИОП-ИТ-24-2 (3 семестр) " sheetId="2" state="hidden" r:id="rId1"/>
    <sheet name="Лист1" sheetId="5" r:id="rId2"/>
  </sheets>
  <calcPr calcId="162913"/>
  <extLst>
    <ext uri="GoogleSheetsCustomDataVersion2">
      <go:sheetsCustomData xmlns:go="http://customooxmlschemas.google.com/" r:id="rId8" roundtripDataChecksum="33KATJ7uDuCD/JxvglQs0XL2kjGxjG25doXbAr6QmwY="/>
    </ext>
  </extLst>
</workbook>
</file>

<file path=xl/calcChain.xml><?xml version="1.0" encoding="utf-8"?>
<calcChain xmlns="http://schemas.openxmlformats.org/spreadsheetml/2006/main">
  <c r="S4" i="5" l="1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X4" i="2"/>
</calcChain>
</file>

<file path=xl/sharedStrings.xml><?xml version="1.0" encoding="utf-8"?>
<sst xmlns="http://schemas.openxmlformats.org/spreadsheetml/2006/main" count="377" uniqueCount="70">
  <si>
    <t>3 семестр</t>
  </si>
  <si>
    <t>2 семестр</t>
  </si>
  <si>
    <t>1 семестр</t>
  </si>
  <si>
    <t>БЖД (ОБЗР)</t>
  </si>
  <si>
    <t>Линейная алгебра и аналитическая геометрия (Математика)</t>
  </si>
  <si>
    <t>Математический анализ (Математика)</t>
  </si>
  <si>
    <t>Объектно-ориентированное программирование (Информатика)</t>
  </si>
  <si>
    <t>Проектно-исследовательская работа</t>
  </si>
  <si>
    <t>Алгоритмы и структуры данных (информатика)</t>
  </si>
  <si>
    <t>Математический анализ</t>
  </si>
  <si>
    <t>Линейная алгебра</t>
  </si>
  <si>
    <t>Дискретная математика</t>
  </si>
  <si>
    <t>практика</t>
  </si>
  <si>
    <t>Математическая логика</t>
  </si>
  <si>
    <t>средний балл</t>
  </si>
  <si>
    <t>неявка</t>
  </si>
  <si>
    <t>3 семестр 2025-2026 уч.г.</t>
  </si>
  <si>
    <t>Поток: ИОП-ИТ-24/2</t>
  </si>
  <si>
    <t>География</t>
  </si>
  <si>
    <t>Литература</t>
  </si>
  <si>
    <t>Русский язык</t>
  </si>
  <si>
    <t>История России (История)</t>
  </si>
  <si>
    <t>Иностранный язык</t>
  </si>
  <si>
    <t>Современные социальные науки (Обществознание)</t>
  </si>
  <si>
    <t>Элективные дисциплины (Физическая культура)</t>
  </si>
  <si>
    <t>Физика</t>
  </si>
  <si>
    <t>Химия</t>
  </si>
  <si>
    <t>Биология</t>
  </si>
  <si>
    <t>Спецкурс по физике</t>
  </si>
  <si>
    <t>Спецкурс по русскому языку</t>
  </si>
  <si>
    <t>Олимпиадная информатика</t>
  </si>
  <si>
    <t>Олимпиадная математика</t>
  </si>
  <si>
    <t>Языковой клуб</t>
  </si>
  <si>
    <t>Литературный клуб</t>
  </si>
  <si>
    <t>Акулова Софья Романовна</t>
  </si>
  <si>
    <t>зачтено</t>
  </si>
  <si>
    <t>Белогуров Иван Дмитриевич</t>
  </si>
  <si>
    <t>Вохминцев Александр Денисович</t>
  </si>
  <si>
    <t>Глазачев Макар Александрович</t>
  </si>
  <si>
    <t>Глубокая Ирина Тимофеевна</t>
  </si>
  <si>
    <t>Гурьянов Лев Александрович</t>
  </si>
  <si>
    <t>Игнатова Алиса Дмитриевна</t>
  </si>
  <si>
    <t>Костенов Артём Александрович</t>
  </si>
  <si>
    <t>Лабзин Кирилл Михайлович</t>
  </si>
  <si>
    <t>Леонтьева Екатерина Владимировна</t>
  </si>
  <si>
    <t>Лобанов Дмитрий Романович</t>
  </si>
  <si>
    <t>Петряев Егор Олегович</t>
  </si>
  <si>
    <t>Родионова Вера Вячеславовна</t>
  </si>
  <si>
    <t>Силова Дарья Владимировна</t>
  </si>
  <si>
    <t>Стальной Артём Олегович</t>
  </si>
  <si>
    <t>Сулим Михаил Евгеньевич</t>
  </si>
  <si>
    <t>Султангалиев Рамин Русланович</t>
  </si>
  <si>
    <t>Сухова Алина Алексеевна</t>
  </si>
  <si>
    <t>Тухватуллин Тимур Вадимович</t>
  </si>
  <si>
    <t>Хохлов Кирилл Павлович</t>
  </si>
  <si>
    <t>Шевелёв Дмитрий Сергеевич</t>
  </si>
  <si>
    <t>Ширшова Анастасия Алексеевна</t>
  </si>
  <si>
    <t>пересдача</t>
  </si>
  <si>
    <t>без стипендии (есть 3)</t>
  </si>
  <si>
    <t>отличники</t>
  </si>
  <si>
    <t>"отличники" -  12 чел</t>
  </si>
  <si>
    <t>без троек  -  7 чел.</t>
  </si>
  <si>
    <t>с тройками -   1 чел.</t>
  </si>
  <si>
    <t>с двойками -   2 чел.</t>
  </si>
  <si>
    <t>Трек А</t>
  </si>
  <si>
    <t>Трек В</t>
  </si>
  <si>
    <t>Трек С</t>
  </si>
  <si>
    <t>id</t>
  </si>
  <si>
    <t>сумма баллов</t>
  </si>
  <si>
    <t>Рейтинг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</si>
</sst>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1"/>
      <color rgb="FF9C0006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9"/>
        <bgColor rgb="FFE2EFD9"/>
      </patternFill>
    </fill>
    <fill>
      <patternFill patternType="solid">
        <fgColor rgb="FFFFC7CE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13" borderId="0" applyNumberFormat="0" applyBorder="0" applyAlignment="0" applyProtection="0"/>
  </cellStyleXfs>
  <cellXfs count="63">
    <xf numFmtId="0" fontId="0" fillId="0" borderId="0" xfId="0" applyFont="1" applyAlignment="1"/>
    <xf numFmtId="0" fontId="2" fillId="0" borderId="0" xfId="0" applyFont="1"/>
    <xf numFmtId="0" fontId="2" fillId="2" borderId="1" xfId="0" applyFont="1" applyFill="1" applyBorder="1"/>
    <xf numFmtId="0" fontId="5" fillId="0" borderId="5" xfId="0" applyFont="1" applyBorder="1" applyAlignment="1">
      <alignment horizontal="left" textRotation="90"/>
    </xf>
    <xf numFmtId="0" fontId="6" fillId="0" borderId="6" xfId="0" applyFont="1" applyBorder="1" applyAlignment="1">
      <alignment textRotation="90" wrapText="1"/>
    </xf>
    <xf numFmtId="0" fontId="6" fillId="0" borderId="7" xfId="0" applyFont="1" applyBorder="1" applyAlignment="1">
      <alignment textRotation="90" wrapText="1"/>
    </xf>
    <xf numFmtId="0" fontId="5" fillId="3" borderId="8" xfId="0" applyFont="1" applyFill="1" applyBorder="1" applyAlignment="1">
      <alignment horizontal="left" textRotation="90" wrapText="1"/>
    </xf>
    <xf numFmtId="0" fontId="7" fillId="0" borderId="6" xfId="0" applyFont="1" applyBorder="1" applyAlignment="1">
      <alignment horizontal="left" textRotation="90" wrapText="1"/>
    </xf>
    <xf numFmtId="0" fontId="5" fillId="0" borderId="7" xfId="0" applyFont="1" applyBorder="1" applyAlignment="1">
      <alignment horizontal="left" textRotation="90" wrapText="1"/>
    </xf>
    <xf numFmtId="0" fontId="7" fillId="0" borderId="7" xfId="0" applyFont="1" applyBorder="1" applyAlignment="1">
      <alignment horizontal="left" textRotation="90" wrapText="1"/>
    </xf>
    <xf numFmtId="0" fontId="7" fillId="0" borderId="9" xfId="0" applyFont="1" applyBorder="1" applyAlignment="1">
      <alignment horizontal="left" textRotation="90" wrapText="1"/>
    </xf>
    <xf numFmtId="0" fontId="7" fillId="2" borderId="1" xfId="0" applyFont="1" applyFill="1" applyBorder="1" applyAlignment="1">
      <alignment horizontal="left" textRotation="90" wrapText="1"/>
    </xf>
    <xf numFmtId="0" fontId="2" fillId="0" borderId="5" xfId="0" applyFont="1" applyBorder="1"/>
    <xf numFmtId="0" fontId="4" fillId="0" borderId="5" xfId="0" applyFont="1" applyBorder="1" applyAlignment="1">
      <alignment wrapText="1"/>
    </xf>
    <xf numFmtId="0" fontId="9" fillId="0" borderId="5" xfId="0" applyFont="1" applyBorder="1" applyAlignment="1">
      <alignment horizontal="left" wrapText="1"/>
    </xf>
    <xf numFmtId="0" fontId="6" fillId="0" borderId="5" xfId="0" applyFont="1" applyBorder="1" applyAlignment="1">
      <alignment textRotation="90" wrapText="1"/>
    </xf>
    <xf numFmtId="0" fontId="6" fillId="0" borderId="5" xfId="0" applyFont="1" applyBorder="1" applyAlignment="1">
      <alignment textRotation="90"/>
    </xf>
    <xf numFmtId="0" fontId="5" fillId="3" borderId="5" xfId="0" applyFont="1" applyFill="1" applyBorder="1" applyAlignment="1">
      <alignment horizontal="left" textRotation="90" wrapText="1"/>
    </xf>
    <xf numFmtId="0" fontId="2" fillId="5" borderId="5" xfId="0" applyFont="1" applyFill="1" applyBorder="1"/>
    <xf numFmtId="0" fontId="2" fillId="6" borderId="5" xfId="0" applyFont="1" applyFill="1" applyBorder="1"/>
    <xf numFmtId="0" fontId="2" fillId="7" borderId="5" xfId="0" applyFont="1" applyFill="1" applyBorder="1"/>
    <xf numFmtId="0" fontId="2" fillId="8" borderId="5" xfId="0" applyFont="1" applyFill="1" applyBorder="1"/>
    <xf numFmtId="0" fontId="2" fillId="9" borderId="5" xfId="0" applyFont="1" applyFill="1" applyBorder="1"/>
    <xf numFmtId="0" fontId="2" fillId="10" borderId="5" xfId="0" applyFont="1" applyFill="1" applyBorder="1"/>
    <xf numFmtId="0" fontId="2" fillId="11" borderId="1" xfId="0" applyFont="1" applyFill="1" applyBorder="1"/>
    <xf numFmtId="0" fontId="8" fillId="0" borderId="0" xfId="0" applyFont="1"/>
    <xf numFmtId="0" fontId="8" fillId="0" borderId="0" xfId="0" applyFont="1" applyAlignment="1">
      <alignment horizontal="right"/>
    </xf>
    <xf numFmtId="0" fontId="2" fillId="10" borderId="1" xfId="0" applyFont="1" applyFill="1" applyBorder="1"/>
    <xf numFmtId="0" fontId="2" fillId="8" borderId="1" xfId="0" applyFont="1" applyFill="1" applyBorder="1"/>
    <xf numFmtId="0" fontId="2" fillId="12" borderId="1" xfId="0" applyFont="1" applyFill="1" applyBorder="1"/>
    <xf numFmtId="0" fontId="2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4" borderId="10" xfId="0" applyFont="1" applyFill="1" applyBorder="1" applyAlignment="1">
      <alignment horizontal="right" vertical="top"/>
    </xf>
    <xf numFmtId="0" fontId="2" fillId="4" borderId="5" xfId="0" applyFont="1" applyFill="1" applyBorder="1" applyAlignment="1">
      <alignment horizontal="right" vertical="top"/>
    </xf>
    <xf numFmtId="0" fontId="2" fillId="4" borderId="11" xfId="0" applyFont="1" applyFill="1" applyBorder="1" applyAlignment="1">
      <alignment horizontal="right" vertical="top"/>
    </xf>
    <xf numFmtId="0" fontId="9" fillId="4" borderId="10" xfId="0" applyFont="1" applyFill="1" applyBorder="1" applyAlignment="1">
      <alignment horizontal="right" vertical="top" wrapText="1"/>
    </xf>
    <xf numFmtId="0" fontId="9" fillId="4" borderId="5" xfId="0" applyFont="1" applyFill="1" applyBorder="1" applyAlignment="1">
      <alignment horizontal="right" vertical="top" wrapText="1"/>
    </xf>
    <xf numFmtId="0" fontId="9" fillId="4" borderId="11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11" xfId="0" applyFont="1" applyBorder="1" applyAlignment="1">
      <alignment horizontal="right" vertical="top"/>
    </xf>
    <xf numFmtId="0" fontId="9" fillId="4" borderId="10" xfId="0" applyFont="1" applyFill="1" applyBorder="1" applyAlignment="1">
      <alignment horizontal="right" vertical="top"/>
    </xf>
    <xf numFmtId="0" fontId="9" fillId="4" borderId="5" xfId="0" applyFont="1" applyFill="1" applyBorder="1" applyAlignment="1">
      <alignment horizontal="right" vertical="top"/>
    </xf>
    <xf numFmtId="0" fontId="4" fillId="4" borderId="11" xfId="0" applyFont="1" applyFill="1" applyBorder="1" applyAlignment="1">
      <alignment horizontal="right" vertical="top"/>
    </xf>
    <xf numFmtId="0" fontId="2" fillId="0" borderId="12" xfId="0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14" xfId="0" applyFont="1" applyBorder="1" applyAlignment="1">
      <alignment horizontal="right" vertical="top"/>
    </xf>
    <xf numFmtId="0" fontId="2" fillId="4" borderId="12" xfId="0" applyFont="1" applyFill="1" applyBorder="1" applyAlignment="1">
      <alignment horizontal="right" vertical="top"/>
    </xf>
    <xf numFmtId="0" fontId="2" fillId="4" borderId="13" xfId="0" applyFont="1" applyFill="1" applyBorder="1" applyAlignment="1">
      <alignment horizontal="right" vertical="top"/>
    </xf>
    <xf numFmtId="0" fontId="2" fillId="4" borderId="14" xfId="0" applyFont="1" applyFill="1" applyBorder="1" applyAlignment="1">
      <alignment horizontal="right" vertical="top"/>
    </xf>
    <xf numFmtId="0" fontId="9" fillId="4" borderId="12" xfId="0" applyFont="1" applyFill="1" applyBorder="1" applyAlignment="1">
      <alignment horizontal="right" vertical="top"/>
    </xf>
    <xf numFmtId="0" fontId="9" fillId="4" borderId="13" xfId="0" applyFont="1" applyFill="1" applyBorder="1" applyAlignment="1">
      <alignment horizontal="right" vertical="top"/>
    </xf>
    <xf numFmtId="0" fontId="4" fillId="4" borderId="14" xfId="0" applyFont="1" applyFill="1" applyBorder="1" applyAlignment="1">
      <alignment horizontal="right" vertical="top"/>
    </xf>
    <xf numFmtId="0" fontId="2" fillId="4" borderId="15" xfId="0" applyFont="1" applyFill="1" applyBorder="1" applyAlignment="1">
      <alignment horizontal="right" vertical="top"/>
    </xf>
    <xf numFmtId="0" fontId="2" fillId="4" borderId="16" xfId="0" applyFont="1" applyFill="1" applyBorder="1" applyAlignment="1">
      <alignment horizontal="right" vertical="top"/>
    </xf>
    <xf numFmtId="0" fontId="2" fillId="4" borderId="17" xfId="0" applyFont="1" applyFill="1" applyBorder="1" applyAlignment="1">
      <alignment horizontal="right" vertical="top"/>
    </xf>
    <xf numFmtId="0" fontId="0" fillId="0" borderId="0" xfId="0"/>
    <xf numFmtId="0" fontId="10" fillId="13" borderId="0" xfId="1"/>
    <xf numFmtId="0" fontId="1" fillId="0" borderId="0" xfId="0" applyFont="1" applyAlignment="1"/>
    <xf numFmtId="0" fontId="2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 textRotation="90" wrapText="1"/>
    </xf>
    <xf numFmtId="0" fontId="0" fillId="0" borderId="0" xfId="0" applyFont="1" applyAlignment="1">
      <alignment horizontal="right"/>
    </xf>
  </cellXfs>
  <cellStyles count="2"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37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 x14ac:dyDescent="0.25"/>
  <cols>
    <col min="1" max="1" width="5" customWidth="1"/>
    <col min="2" max="2" width="36.140625" customWidth="1"/>
    <col min="3" max="19" width="9.7109375" customWidth="1"/>
    <col min="20" max="20" width="10.5703125" customWidth="1"/>
    <col min="21" max="21" width="9.7109375" customWidth="1"/>
    <col min="22" max="22" width="13.5703125" customWidth="1"/>
    <col min="23" max="23" width="11.140625" customWidth="1"/>
  </cols>
  <sheetData>
    <row r="1" spans="1:24" x14ac:dyDescent="0.25">
      <c r="B1" s="1" t="s">
        <v>16</v>
      </c>
    </row>
    <row r="2" spans="1:24" x14ac:dyDescent="0.25">
      <c r="B2" s="1" t="s">
        <v>17</v>
      </c>
    </row>
    <row r="3" spans="1:24" ht="88.5" customHeight="1" x14ac:dyDescent="0.25">
      <c r="A3" s="13"/>
      <c r="B3" s="14"/>
      <c r="C3" s="15" t="s">
        <v>18</v>
      </c>
      <c r="D3" s="15" t="s">
        <v>19</v>
      </c>
      <c r="E3" s="15" t="s">
        <v>20</v>
      </c>
      <c r="F3" s="15" t="s">
        <v>21</v>
      </c>
      <c r="G3" s="15" t="s">
        <v>22</v>
      </c>
      <c r="H3" s="15" t="s">
        <v>23</v>
      </c>
      <c r="I3" s="15" t="s">
        <v>24</v>
      </c>
      <c r="J3" s="16" t="s">
        <v>25</v>
      </c>
      <c r="K3" s="16" t="s">
        <v>26</v>
      </c>
      <c r="L3" s="16" t="s">
        <v>27</v>
      </c>
      <c r="M3" s="16" t="s">
        <v>28</v>
      </c>
      <c r="N3" s="15" t="s">
        <v>29</v>
      </c>
      <c r="O3" s="15" t="s">
        <v>30</v>
      </c>
      <c r="P3" s="15" t="s">
        <v>31</v>
      </c>
      <c r="Q3" s="15" t="s">
        <v>32</v>
      </c>
      <c r="R3" s="15" t="s">
        <v>33</v>
      </c>
      <c r="S3" s="15" t="s">
        <v>3</v>
      </c>
      <c r="T3" s="15" t="s">
        <v>4</v>
      </c>
      <c r="U3" s="15" t="s">
        <v>5</v>
      </c>
      <c r="V3" s="15" t="s">
        <v>6</v>
      </c>
      <c r="W3" s="17" t="s">
        <v>7</v>
      </c>
    </row>
    <row r="4" spans="1:24" x14ac:dyDescent="0.25">
      <c r="A4" s="12">
        <v>1</v>
      </c>
      <c r="B4" s="12" t="s">
        <v>34</v>
      </c>
      <c r="C4" s="12" t="s">
        <v>35</v>
      </c>
      <c r="D4" s="12" t="s">
        <v>35</v>
      </c>
      <c r="E4" s="12" t="s">
        <v>35</v>
      </c>
      <c r="F4" s="12" t="s">
        <v>35</v>
      </c>
      <c r="G4" s="12" t="s">
        <v>35</v>
      </c>
      <c r="H4" s="12" t="s">
        <v>35</v>
      </c>
      <c r="I4" s="12" t="s">
        <v>35</v>
      </c>
      <c r="J4" s="12" t="s">
        <v>35</v>
      </c>
      <c r="K4" s="12" t="s">
        <v>35</v>
      </c>
      <c r="L4" s="12" t="s">
        <v>35</v>
      </c>
      <c r="M4" s="12" t="s">
        <v>35</v>
      </c>
      <c r="N4" s="12" t="s">
        <v>35</v>
      </c>
      <c r="O4" s="12" t="s">
        <v>35</v>
      </c>
      <c r="P4" s="18"/>
      <c r="Q4" s="18"/>
      <c r="R4" s="12" t="s">
        <v>35</v>
      </c>
      <c r="S4" s="12">
        <v>5</v>
      </c>
      <c r="T4" s="12">
        <v>4</v>
      </c>
      <c r="U4" s="12">
        <v>4</v>
      </c>
      <c r="V4" s="12">
        <v>4</v>
      </c>
      <c r="W4" s="12">
        <v>5</v>
      </c>
      <c r="X4" s="1">
        <f>IF(OR(S4=2, T4=2, U4=2, V4=2, S4="неявка", T4="неявка", U4="неявка", V4="неявка"), "с двойкой",)</f>
        <v>0</v>
      </c>
    </row>
    <row r="5" spans="1:24" x14ac:dyDescent="0.25">
      <c r="A5" s="12">
        <v>2</v>
      </c>
      <c r="B5" s="12" t="s">
        <v>36</v>
      </c>
      <c r="C5" s="12" t="s">
        <v>35</v>
      </c>
      <c r="D5" s="12" t="s">
        <v>35</v>
      </c>
      <c r="E5" s="12" t="s">
        <v>35</v>
      </c>
      <c r="F5" s="12" t="s">
        <v>35</v>
      </c>
      <c r="G5" s="12" t="s">
        <v>35</v>
      </c>
      <c r="H5" s="12" t="s">
        <v>35</v>
      </c>
      <c r="I5" s="12" t="s">
        <v>35</v>
      </c>
      <c r="J5" s="12" t="s">
        <v>35</v>
      </c>
      <c r="K5" s="12" t="s">
        <v>35</v>
      </c>
      <c r="L5" s="12" t="s">
        <v>35</v>
      </c>
      <c r="M5" s="18"/>
      <c r="N5" s="18"/>
      <c r="O5" s="12" t="s">
        <v>35</v>
      </c>
      <c r="P5" s="18"/>
      <c r="Q5" s="12" t="s">
        <v>35</v>
      </c>
      <c r="R5" s="18"/>
      <c r="S5" s="12">
        <v>5</v>
      </c>
      <c r="T5" s="12">
        <v>4</v>
      </c>
      <c r="U5" s="12">
        <v>4</v>
      </c>
      <c r="V5" s="12">
        <v>5</v>
      </c>
      <c r="W5" s="12">
        <v>5</v>
      </c>
    </row>
    <row r="6" spans="1:24" x14ac:dyDescent="0.25">
      <c r="A6" s="12">
        <v>3</v>
      </c>
      <c r="B6" s="19" t="s">
        <v>37</v>
      </c>
      <c r="C6" s="12" t="s">
        <v>35</v>
      </c>
      <c r="D6" s="12" t="s">
        <v>35</v>
      </c>
      <c r="E6" s="12" t="s">
        <v>35</v>
      </c>
      <c r="F6" s="12" t="s">
        <v>35</v>
      </c>
      <c r="G6" s="12" t="s">
        <v>35</v>
      </c>
      <c r="H6" s="12" t="s">
        <v>35</v>
      </c>
      <c r="I6" s="12" t="s">
        <v>35</v>
      </c>
      <c r="J6" s="12" t="s">
        <v>35</v>
      </c>
      <c r="K6" s="12" t="s">
        <v>35</v>
      </c>
      <c r="L6" s="12" t="s">
        <v>35</v>
      </c>
      <c r="M6" s="12" t="s">
        <v>35</v>
      </c>
      <c r="N6" s="12" t="s">
        <v>35</v>
      </c>
      <c r="O6" s="12" t="s">
        <v>35</v>
      </c>
      <c r="P6" s="18"/>
      <c r="Q6" s="18"/>
      <c r="R6" s="12" t="s">
        <v>35</v>
      </c>
      <c r="S6" s="12">
        <v>5</v>
      </c>
      <c r="T6" s="12">
        <v>3</v>
      </c>
      <c r="U6" s="20">
        <v>2</v>
      </c>
      <c r="V6" s="12">
        <v>5</v>
      </c>
      <c r="W6" s="12">
        <v>5</v>
      </c>
    </row>
    <row r="7" spans="1:24" x14ac:dyDescent="0.25">
      <c r="A7" s="12">
        <v>4</v>
      </c>
      <c r="B7" s="21" t="s">
        <v>38</v>
      </c>
      <c r="C7" s="12" t="s">
        <v>35</v>
      </c>
      <c r="D7" s="12" t="s">
        <v>35</v>
      </c>
      <c r="E7" s="12" t="s">
        <v>35</v>
      </c>
      <c r="F7" s="12" t="s">
        <v>35</v>
      </c>
      <c r="G7" s="12" t="s">
        <v>35</v>
      </c>
      <c r="H7" s="12" t="s">
        <v>35</v>
      </c>
      <c r="I7" s="12" t="s">
        <v>35</v>
      </c>
      <c r="J7" s="12" t="s">
        <v>35</v>
      </c>
      <c r="K7" s="12" t="s">
        <v>35</v>
      </c>
      <c r="L7" s="12" t="s">
        <v>35</v>
      </c>
      <c r="M7" s="12" t="s">
        <v>35</v>
      </c>
      <c r="N7" s="12" t="s">
        <v>35</v>
      </c>
      <c r="O7" s="22"/>
      <c r="P7" s="12" t="s">
        <v>35</v>
      </c>
      <c r="Q7" s="12" t="s">
        <v>35</v>
      </c>
      <c r="R7" s="18"/>
      <c r="S7" s="12">
        <v>5</v>
      </c>
      <c r="T7" s="12">
        <v>5</v>
      </c>
      <c r="U7" s="12">
        <v>5</v>
      </c>
      <c r="V7" s="12">
        <v>5</v>
      </c>
      <c r="W7" s="12">
        <v>5</v>
      </c>
    </row>
    <row r="8" spans="1:24" x14ac:dyDescent="0.25">
      <c r="A8" s="12">
        <v>5</v>
      </c>
      <c r="B8" s="21" t="s">
        <v>39</v>
      </c>
      <c r="C8" s="12" t="s">
        <v>35</v>
      </c>
      <c r="D8" s="12" t="s">
        <v>35</v>
      </c>
      <c r="E8" s="12" t="s">
        <v>35</v>
      </c>
      <c r="F8" s="12" t="s">
        <v>35</v>
      </c>
      <c r="G8" s="12" t="s">
        <v>35</v>
      </c>
      <c r="H8" s="12" t="s">
        <v>35</v>
      </c>
      <c r="I8" s="12" t="s">
        <v>35</v>
      </c>
      <c r="J8" s="12" t="s">
        <v>35</v>
      </c>
      <c r="K8" s="12" t="s">
        <v>35</v>
      </c>
      <c r="L8" s="12" t="s">
        <v>35</v>
      </c>
      <c r="M8" s="12" t="s">
        <v>35</v>
      </c>
      <c r="N8" s="12" t="s">
        <v>35</v>
      </c>
      <c r="O8" s="12" t="s">
        <v>35</v>
      </c>
      <c r="P8" s="18"/>
      <c r="Q8" s="18"/>
      <c r="R8" s="12" t="s">
        <v>35</v>
      </c>
      <c r="S8" s="12">
        <v>5</v>
      </c>
      <c r="T8" s="12">
        <v>5</v>
      </c>
      <c r="U8" s="12">
        <v>5</v>
      </c>
      <c r="V8" s="12">
        <v>5</v>
      </c>
      <c r="W8" s="12">
        <v>5</v>
      </c>
    </row>
    <row r="9" spans="1:24" x14ac:dyDescent="0.25">
      <c r="A9" s="12">
        <v>6</v>
      </c>
      <c r="B9" s="12" t="s">
        <v>40</v>
      </c>
      <c r="C9" s="12" t="s">
        <v>35</v>
      </c>
      <c r="D9" s="12" t="s">
        <v>35</v>
      </c>
      <c r="E9" s="12" t="s">
        <v>35</v>
      </c>
      <c r="F9" s="12" t="s">
        <v>35</v>
      </c>
      <c r="G9" s="12" t="s">
        <v>35</v>
      </c>
      <c r="H9" s="12" t="s">
        <v>35</v>
      </c>
      <c r="I9" s="12" t="s">
        <v>35</v>
      </c>
      <c r="J9" s="12" t="s">
        <v>35</v>
      </c>
      <c r="K9" s="12" t="s">
        <v>35</v>
      </c>
      <c r="L9" s="12" t="s">
        <v>35</v>
      </c>
      <c r="M9" s="12" t="s">
        <v>35</v>
      </c>
      <c r="N9" s="12" t="s">
        <v>35</v>
      </c>
      <c r="O9" s="12" t="s">
        <v>35</v>
      </c>
      <c r="P9" s="18"/>
      <c r="Q9" s="12" t="s">
        <v>35</v>
      </c>
      <c r="R9" s="18"/>
      <c r="S9" s="12">
        <v>5</v>
      </c>
      <c r="T9" s="12">
        <v>4</v>
      </c>
      <c r="U9" s="12">
        <v>4</v>
      </c>
      <c r="V9" s="12">
        <v>5</v>
      </c>
      <c r="W9" s="12">
        <v>5</v>
      </c>
    </row>
    <row r="10" spans="1:24" x14ac:dyDescent="0.25">
      <c r="A10" s="12">
        <v>7</v>
      </c>
      <c r="B10" s="21" t="s">
        <v>41</v>
      </c>
      <c r="C10" s="12" t="s">
        <v>35</v>
      </c>
      <c r="D10" s="12" t="s">
        <v>35</v>
      </c>
      <c r="E10" s="12" t="s">
        <v>35</v>
      </c>
      <c r="F10" s="12" t="s">
        <v>35</v>
      </c>
      <c r="G10" s="12" t="s">
        <v>35</v>
      </c>
      <c r="H10" s="12" t="s">
        <v>35</v>
      </c>
      <c r="I10" s="12" t="s">
        <v>35</v>
      </c>
      <c r="J10" s="12" t="s">
        <v>35</v>
      </c>
      <c r="K10" s="12" t="s">
        <v>35</v>
      </c>
      <c r="L10" s="12" t="s">
        <v>35</v>
      </c>
      <c r="M10" s="12" t="s">
        <v>35</v>
      </c>
      <c r="N10" s="12" t="s">
        <v>35</v>
      </c>
      <c r="O10" s="18"/>
      <c r="P10" s="12" t="s">
        <v>35</v>
      </c>
      <c r="Q10" s="12" t="s">
        <v>35</v>
      </c>
      <c r="R10" s="18"/>
      <c r="S10" s="12">
        <v>5</v>
      </c>
      <c r="T10" s="12">
        <v>5</v>
      </c>
      <c r="U10" s="12">
        <v>5</v>
      </c>
      <c r="V10" s="12">
        <v>5</v>
      </c>
      <c r="W10" s="12">
        <v>5</v>
      </c>
    </row>
    <row r="11" spans="1:24" x14ac:dyDescent="0.25">
      <c r="A11" s="12">
        <v>8</v>
      </c>
      <c r="B11" s="21" t="s">
        <v>42</v>
      </c>
      <c r="C11" s="12" t="s">
        <v>35</v>
      </c>
      <c r="D11" s="12" t="s">
        <v>35</v>
      </c>
      <c r="E11" s="12" t="s">
        <v>35</v>
      </c>
      <c r="F11" s="12" t="s">
        <v>35</v>
      </c>
      <c r="G11" s="12" t="s">
        <v>35</v>
      </c>
      <c r="H11" s="12" t="s">
        <v>35</v>
      </c>
      <c r="I11" s="12" t="s">
        <v>35</v>
      </c>
      <c r="J11" s="12" t="s">
        <v>35</v>
      </c>
      <c r="K11" s="12" t="s">
        <v>35</v>
      </c>
      <c r="L11" s="12" t="s">
        <v>35</v>
      </c>
      <c r="M11" s="12" t="s">
        <v>35</v>
      </c>
      <c r="N11" s="12" t="s">
        <v>35</v>
      </c>
      <c r="O11" s="12" t="s">
        <v>35</v>
      </c>
      <c r="P11" s="18"/>
      <c r="Q11" s="18"/>
      <c r="R11" s="12" t="s">
        <v>35</v>
      </c>
      <c r="S11" s="12">
        <v>5</v>
      </c>
      <c r="T11" s="12">
        <v>5</v>
      </c>
      <c r="U11" s="12">
        <v>5</v>
      </c>
      <c r="V11" s="12">
        <v>5</v>
      </c>
      <c r="W11" s="12">
        <v>5</v>
      </c>
    </row>
    <row r="12" spans="1:24" x14ac:dyDescent="0.25">
      <c r="A12" s="12">
        <v>9</v>
      </c>
      <c r="B12" s="12" t="s">
        <v>43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8"/>
      <c r="N12" s="18"/>
      <c r="O12" s="18"/>
      <c r="P12" s="12" t="s">
        <v>35</v>
      </c>
      <c r="Q12" s="12" t="s">
        <v>35</v>
      </c>
      <c r="R12" s="18"/>
      <c r="S12" s="12">
        <v>5</v>
      </c>
      <c r="T12" s="12">
        <v>4</v>
      </c>
      <c r="U12" s="12">
        <v>5</v>
      </c>
      <c r="V12" s="12">
        <v>5</v>
      </c>
      <c r="W12" s="12">
        <v>5</v>
      </c>
    </row>
    <row r="13" spans="1:24" x14ac:dyDescent="0.25">
      <c r="A13" s="12">
        <v>10</v>
      </c>
      <c r="B13" s="21" t="s">
        <v>44</v>
      </c>
      <c r="C13" s="12" t="s">
        <v>35</v>
      </c>
      <c r="D13" s="12" t="s">
        <v>35</v>
      </c>
      <c r="E13" s="12" t="s">
        <v>35</v>
      </c>
      <c r="F13" s="12" t="s">
        <v>35</v>
      </c>
      <c r="G13" s="12" t="s">
        <v>35</v>
      </c>
      <c r="H13" s="12" t="s">
        <v>35</v>
      </c>
      <c r="I13" s="12" t="s">
        <v>35</v>
      </c>
      <c r="J13" s="12" t="s">
        <v>35</v>
      </c>
      <c r="K13" s="12" t="s">
        <v>35</v>
      </c>
      <c r="L13" s="12" t="s">
        <v>35</v>
      </c>
      <c r="M13" s="18"/>
      <c r="N13" s="12" t="s">
        <v>35</v>
      </c>
      <c r="O13" s="18"/>
      <c r="P13" s="12" t="s">
        <v>35</v>
      </c>
      <c r="Q13" s="18"/>
      <c r="R13" s="12" t="s">
        <v>35</v>
      </c>
      <c r="S13" s="12">
        <v>5</v>
      </c>
      <c r="T13" s="12">
        <v>5</v>
      </c>
      <c r="U13" s="12">
        <v>5</v>
      </c>
      <c r="V13" s="12">
        <v>5</v>
      </c>
      <c r="W13" s="12">
        <v>5</v>
      </c>
    </row>
    <row r="14" spans="1:24" x14ac:dyDescent="0.25">
      <c r="A14" s="12">
        <v>11</v>
      </c>
      <c r="B14" s="12" t="s">
        <v>45</v>
      </c>
      <c r="C14" s="12" t="s">
        <v>35</v>
      </c>
      <c r="D14" s="12" t="s">
        <v>35</v>
      </c>
      <c r="E14" s="12" t="s">
        <v>35</v>
      </c>
      <c r="F14" s="12" t="s">
        <v>35</v>
      </c>
      <c r="G14" s="12" t="s">
        <v>35</v>
      </c>
      <c r="H14" s="12" t="s">
        <v>35</v>
      </c>
      <c r="I14" s="12" t="s">
        <v>35</v>
      </c>
      <c r="J14" s="12" t="s">
        <v>35</v>
      </c>
      <c r="K14" s="12" t="s">
        <v>35</v>
      </c>
      <c r="L14" s="12" t="s">
        <v>35</v>
      </c>
      <c r="M14" s="12" t="s">
        <v>35</v>
      </c>
      <c r="N14" s="18"/>
      <c r="O14" s="12" t="s">
        <v>35</v>
      </c>
      <c r="P14" s="18"/>
      <c r="Q14" s="18"/>
      <c r="R14" s="12" t="s">
        <v>35</v>
      </c>
      <c r="S14" s="12">
        <v>5</v>
      </c>
      <c r="T14" s="12">
        <v>4</v>
      </c>
      <c r="U14" s="12">
        <v>4</v>
      </c>
      <c r="V14" s="12">
        <v>5</v>
      </c>
      <c r="W14" s="12">
        <v>5</v>
      </c>
    </row>
    <row r="15" spans="1:24" x14ac:dyDescent="0.25">
      <c r="A15" s="12">
        <v>12</v>
      </c>
      <c r="B15" s="21" t="s">
        <v>46</v>
      </c>
      <c r="C15" s="12" t="s">
        <v>35</v>
      </c>
      <c r="D15" s="12" t="s">
        <v>35</v>
      </c>
      <c r="E15" s="12" t="s">
        <v>35</v>
      </c>
      <c r="F15" s="12" t="s">
        <v>35</v>
      </c>
      <c r="G15" s="12" t="s">
        <v>35</v>
      </c>
      <c r="H15" s="12" t="s">
        <v>35</v>
      </c>
      <c r="I15" s="12" t="s">
        <v>35</v>
      </c>
      <c r="J15" s="12" t="s">
        <v>35</v>
      </c>
      <c r="K15" s="12" t="s">
        <v>35</v>
      </c>
      <c r="L15" s="12" t="s">
        <v>35</v>
      </c>
      <c r="M15" s="12" t="s">
        <v>35</v>
      </c>
      <c r="N15" s="12" t="s">
        <v>35</v>
      </c>
      <c r="O15" s="12" t="s">
        <v>35</v>
      </c>
      <c r="P15" s="18"/>
      <c r="Q15" s="12" t="s">
        <v>35</v>
      </c>
      <c r="R15" s="18"/>
      <c r="S15" s="12">
        <v>5</v>
      </c>
      <c r="T15" s="12">
        <v>5</v>
      </c>
      <c r="U15" s="12">
        <v>5</v>
      </c>
      <c r="V15" s="12">
        <v>5</v>
      </c>
      <c r="W15" s="12">
        <v>5</v>
      </c>
    </row>
    <row r="16" spans="1:24" x14ac:dyDescent="0.25">
      <c r="A16" s="12">
        <v>13</v>
      </c>
      <c r="B16" s="21" t="s">
        <v>47</v>
      </c>
      <c r="C16" s="12" t="s">
        <v>35</v>
      </c>
      <c r="D16" s="12" t="s">
        <v>35</v>
      </c>
      <c r="E16" s="12" t="s">
        <v>35</v>
      </c>
      <c r="F16" s="12" t="s">
        <v>35</v>
      </c>
      <c r="G16" s="12" t="s">
        <v>35</v>
      </c>
      <c r="H16" s="12" t="s">
        <v>35</v>
      </c>
      <c r="I16" s="12" t="s">
        <v>35</v>
      </c>
      <c r="J16" s="12" t="s">
        <v>35</v>
      </c>
      <c r="K16" s="12" t="s">
        <v>35</v>
      </c>
      <c r="L16" s="12" t="s">
        <v>35</v>
      </c>
      <c r="M16" s="12" t="s">
        <v>35</v>
      </c>
      <c r="N16" s="18" t="s">
        <v>35</v>
      </c>
      <c r="O16" s="12" t="s">
        <v>35</v>
      </c>
      <c r="P16" s="18"/>
      <c r="Q16" s="18"/>
      <c r="R16" s="12" t="s">
        <v>35</v>
      </c>
      <c r="S16" s="12">
        <v>5</v>
      </c>
      <c r="T16" s="12">
        <v>5</v>
      </c>
      <c r="U16" s="12">
        <v>5</v>
      </c>
      <c r="V16" s="12">
        <v>5</v>
      </c>
      <c r="W16" s="12">
        <v>5</v>
      </c>
    </row>
    <row r="17" spans="1:23" x14ac:dyDescent="0.25">
      <c r="A17" s="12">
        <v>14</v>
      </c>
      <c r="B17" s="21" t="s">
        <v>48</v>
      </c>
      <c r="C17" s="12" t="s">
        <v>35</v>
      </c>
      <c r="D17" s="12" t="s">
        <v>35</v>
      </c>
      <c r="E17" s="12" t="s">
        <v>35</v>
      </c>
      <c r="F17" s="12" t="s">
        <v>35</v>
      </c>
      <c r="G17" s="12" t="s">
        <v>35</v>
      </c>
      <c r="H17" s="12" t="s">
        <v>35</v>
      </c>
      <c r="I17" s="12" t="s">
        <v>35</v>
      </c>
      <c r="J17" s="12" t="s">
        <v>35</v>
      </c>
      <c r="K17" s="12" t="s">
        <v>35</v>
      </c>
      <c r="L17" s="12" t="s">
        <v>35</v>
      </c>
      <c r="M17" s="12" t="s">
        <v>35</v>
      </c>
      <c r="N17" s="12" t="s">
        <v>35</v>
      </c>
      <c r="O17" s="18"/>
      <c r="P17" s="12" t="s">
        <v>35</v>
      </c>
      <c r="Q17" s="18"/>
      <c r="R17" s="12" t="s">
        <v>35</v>
      </c>
      <c r="S17" s="12">
        <v>5</v>
      </c>
      <c r="T17" s="12">
        <v>5</v>
      </c>
      <c r="U17" s="12">
        <v>5</v>
      </c>
      <c r="V17" s="12">
        <v>5</v>
      </c>
      <c r="W17" s="12">
        <v>5</v>
      </c>
    </row>
    <row r="18" spans="1:23" x14ac:dyDescent="0.25">
      <c r="A18" s="12">
        <v>15</v>
      </c>
      <c r="B18" s="21" t="s">
        <v>49</v>
      </c>
      <c r="C18" s="12" t="s">
        <v>35</v>
      </c>
      <c r="D18" s="12" t="s">
        <v>35</v>
      </c>
      <c r="E18" s="12" t="s">
        <v>35</v>
      </c>
      <c r="F18" s="12" t="s">
        <v>35</v>
      </c>
      <c r="G18" s="12" t="s">
        <v>35</v>
      </c>
      <c r="H18" s="12" t="s">
        <v>35</v>
      </c>
      <c r="I18" s="12" t="s">
        <v>35</v>
      </c>
      <c r="J18" s="12" t="s">
        <v>35</v>
      </c>
      <c r="K18" s="12" t="s">
        <v>35</v>
      </c>
      <c r="L18" s="12" t="s">
        <v>35</v>
      </c>
      <c r="M18" s="18"/>
      <c r="N18" s="18" t="s">
        <v>35</v>
      </c>
      <c r="O18" s="12" t="s">
        <v>35</v>
      </c>
      <c r="P18" s="18"/>
      <c r="Q18" s="12" t="s">
        <v>35</v>
      </c>
      <c r="R18" s="18"/>
      <c r="S18" s="12">
        <v>5</v>
      </c>
      <c r="T18" s="12">
        <v>5</v>
      </c>
      <c r="U18" s="12">
        <v>5</v>
      </c>
      <c r="V18" s="12">
        <v>5</v>
      </c>
      <c r="W18" s="12">
        <v>5</v>
      </c>
    </row>
    <row r="19" spans="1:23" x14ac:dyDescent="0.25">
      <c r="A19" s="12">
        <v>16</v>
      </c>
      <c r="B19" s="12" t="s">
        <v>50</v>
      </c>
      <c r="C19" s="12" t="s">
        <v>35</v>
      </c>
      <c r="D19" s="12" t="s">
        <v>35</v>
      </c>
      <c r="E19" s="12" t="s">
        <v>35</v>
      </c>
      <c r="F19" s="12" t="s">
        <v>35</v>
      </c>
      <c r="G19" s="12" t="s">
        <v>35</v>
      </c>
      <c r="H19" s="12" t="s">
        <v>35</v>
      </c>
      <c r="I19" s="12" t="s">
        <v>35</v>
      </c>
      <c r="J19" s="12" t="s">
        <v>35</v>
      </c>
      <c r="K19" s="12" t="s">
        <v>35</v>
      </c>
      <c r="L19" s="12" t="s">
        <v>35</v>
      </c>
      <c r="M19" s="12" t="s">
        <v>35</v>
      </c>
      <c r="N19" s="12" t="s">
        <v>35</v>
      </c>
      <c r="O19" s="12" t="s">
        <v>35</v>
      </c>
      <c r="P19" s="18"/>
      <c r="Q19" s="12" t="s">
        <v>35</v>
      </c>
      <c r="R19" s="18"/>
      <c r="S19" s="12">
        <v>5</v>
      </c>
      <c r="T19" s="12">
        <v>4</v>
      </c>
      <c r="U19" s="12">
        <v>5</v>
      </c>
      <c r="V19" s="12">
        <v>5</v>
      </c>
      <c r="W19" s="12">
        <v>5</v>
      </c>
    </row>
    <row r="20" spans="1:23" x14ac:dyDescent="0.25">
      <c r="A20" s="12">
        <v>17</v>
      </c>
      <c r="B20" s="23" t="s">
        <v>51</v>
      </c>
      <c r="C20" s="12" t="s">
        <v>35</v>
      </c>
      <c r="D20" s="12" t="s">
        <v>35</v>
      </c>
      <c r="E20" s="12" t="s">
        <v>35</v>
      </c>
      <c r="F20" s="12" t="s">
        <v>35</v>
      </c>
      <c r="G20" s="12" t="s">
        <v>35</v>
      </c>
      <c r="H20" s="12" t="s">
        <v>35</v>
      </c>
      <c r="I20" s="12" t="s">
        <v>35</v>
      </c>
      <c r="J20" s="12" t="s">
        <v>35</v>
      </c>
      <c r="K20" s="12" t="s">
        <v>35</v>
      </c>
      <c r="L20" s="12" t="s">
        <v>35</v>
      </c>
      <c r="M20" s="18"/>
      <c r="N20" s="18"/>
      <c r="O20" s="12" t="s">
        <v>35</v>
      </c>
      <c r="P20" s="18"/>
      <c r="Q20" s="12" t="s">
        <v>35</v>
      </c>
      <c r="R20" s="18"/>
      <c r="S20" s="12">
        <v>5</v>
      </c>
      <c r="T20" s="12">
        <v>3</v>
      </c>
      <c r="U20" s="12">
        <v>3</v>
      </c>
      <c r="V20" s="12">
        <v>4</v>
      </c>
      <c r="W20" s="19" t="s">
        <v>15</v>
      </c>
    </row>
    <row r="21" spans="1:23" x14ac:dyDescent="0.25">
      <c r="A21" s="12">
        <v>18</v>
      </c>
      <c r="B21" s="21" t="s">
        <v>52</v>
      </c>
      <c r="C21" s="12" t="s">
        <v>35</v>
      </c>
      <c r="D21" s="12" t="s">
        <v>35</v>
      </c>
      <c r="E21" s="12" t="s">
        <v>35</v>
      </c>
      <c r="F21" s="12" t="s">
        <v>35</v>
      </c>
      <c r="G21" s="12" t="s">
        <v>35</v>
      </c>
      <c r="H21" s="12" t="s">
        <v>35</v>
      </c>
      <c r="I21" s="12" t="s">
        <v>35</v>
      </c>
      <c r="J21" s="12" t="s">
        <v>35</v>
      </c>
      <c r="K21" s="12" t="s">
        <v>35</v>
      </c>
      <c r="L21" s="12" t="s">
        <v>35</v>
      </c>
      <c r="M21" s="12" t="s">
        <v>35</v>
      </c>
      <c r="N21" s="12" t="s">
        <v>35</v>
      </c>
      <c r="O21" s="12" t="s">
        <v>35</v>
      </c>
      <c r="P21" s="18"/>
      <c r="Q21" s="18"/>
      <c r="R21" s="12" t="s">
        <v>35</v>
      </c>
      <c r="S21" s="12">
        <v>5</v>
      </c>
      <c r="T21" s="12">
        <v>5</v>
      </c>
      <c r="U21" s="12">
        <v>5</v>
      </c>
      <c r="V21" s="12">
        <v>5</v>
      </c>
      <c r="W21" s="12">
        <v>5</v>
      </c>
    </row>
    <row r="22" spans="1:23" x14ac:dyDescent="0.25">
      <c r="A22" s="12">
        <v>19</v>
      </c>
      <c r="B22" s="21" t="s">
        <v>53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8"/>
      <c r="N22" s="18" t="s">
        <v>35</v>
      </c>
      <c r="O22" s="18"/>
      <c r="P22" s="12" t="s">
        <v>35</v>
      </c>
      <c r="Q22" s="18"/>
      <c r="R22" s="12" t="s">
        <v>35</v>
      </c>
      <c r="S22" s="12">
        <v>5</v>
      </c>
      <c r="T22" s="12">
        <v>5</v>
      </c>
      <c r="U22" s="12">
        <v>5</v>
      </c>
      <c r="V22" s="12">
        <v>5</v>
      </c>
      <c r="W22" s="12">
        <v>5</v>
      </c>
    </row>
    <row r="23" spans="1:23" x14ac:dyDescent="0.25">
      <c r="A23" s="12">
        <v>20</v>
      </c>
      <c r="B23" s="21" t="s">
        <v>54</v>
      </c>
      <c r="C23" s="12" t="s">
        <v>35</v>
      </c>
      <c r="D23" s="12" t="s">
        <v>35</v>
      </c>
      <c r="E23" s="12" t="s">
        <v>35</v>
      </c>
      <c r="F23" s="12" t="s">
        <v>35</v>
      </c>
      <c r="G23" s="12" t="s">
        <v>35</v>
      </c>
      <c r="H23" s="12" t="s">
        <v>35</v>
      </c>
      <c r="I23" s="12" t="s">
        <v>35</v>
      </c>
      <c r="J23" s="12" t="s">
        <v>35</v>
      </c>
      <c r="K23" s="12" t="s">
        <v>35</v>
      </c>
      <c r="L23" s="12" t="s">
        <v>35</v>
      </c>
      <c r="M23" s="12" t="s">
        <v>35</v>
      </c>
      <c r="N23" s="12" t="s">
        <v>35</v>
      </c>
      <c r="O23" s="12" t="s">
        <v>35</v>
      </c>
      <c r="P23" s="18"/>
      <c r="Q23" s="18"/>
      <c r="R23" s="12" t="s">
        <v>35</v>
      </c>
      <c r="S23" s="12">
        <v>5</v>
      </c>
      <c r="T23" s="12">
        <v>5</v>
      </c>
      <c r="U23" s="12">
        <v>5</v>
      </c>
      <c r="V23" s="12">
        <v>5</v>
      </c>
      <c r="W23" s="12">
        <v>5</v>
      </c>
    </row>
    <row r="24" spans="1:23" x14ac:dyDescent="0.25">
      <c r="A24" s="12">
        <v>21</v>
      </c>
      <c r="B24" s="19" t="s">
        <v>55</v>
      </c>
      <c r="C24" s="12" t="s">
        <v>35</v>
      </c>
      <c r="D24" s="12" t="s">
        <v>35</v>
      </c>
      <c r="E24" s="12" t="s">
        <v>35</v>
      </c>
      <c r="F24" s="12" t="s">
        <v>35</v>
      </c>
      <c r="G24" s="12" t="s">
        <v>35</v>
      </c>
      <c r="H24" s="12" t="s">
        <v>35</v>
      </c>
      <c r="I24" s="12" t="s">
        <v>35</v>
      </c>
      <c r="J24" s="12" t="s">
        <v>35</v>
      </c>
      <c r="K24" s="12" t="s">
        <v>35</v>
      </c>
      <c r="L24" s="12" t="s">
        <v>35</v>
      </c>
      <c r="M24" s="18" t="s">
        <v>35</v>
      </c>
      <c r="N24" s="18"/>
      <c r="O24" s="12" t="s">
        <v>35</v>
      </c>
      <c r="P24" s="18"/>
      <c r="Q24" s="18"/>
      <c r="R24" s="12" t="s">
        <v>35</v>
      </c>
      <c r="S24" s="12">
        <v>5</v>
      </c>
      <c r="T24" s="12">
        <v>5</v>
      </c>
      <c r="U24" s="20">
        <v>2</v>
      </c>
      <c r="V24" s="12">
        <v>4</v>
      </c>
      <c r="W24" s="12">
        <v>5</v>
      </c>
    </row>
    <row r="25" spans="1:23" x14ac:dyDescent="0.25">
      <c r="A25" s="12">
        <v>22</v>
      </c>
      <c r="B25" s="12" t="s">
        <v>56</v>
      </c>
      <c r="C25" s="12" t="s">
        <v>35</v>
      </c>
      <c r="D25" s="12" t="s">
        <v>35</v>
      </c>
      <c r="E25" s="12" t="s">
        <v>35</v>
      </c>
      <c r="F25" s="12" t="s">
        <v>35</v>
      </c>
      <c r="G25" s="12" t="s">
        <v>35</v>
      </c>
      <c r="H25" s="12" t="s">
        <v>35</v>
      </c>
      <c r="I25" s="12" t="s">
        <v>35</v>
      </c>
      <c r="J25" s="12" t="s">
        <v>35</v>
      </c>
      <c r="K25" s="12" t="s">
        <v>35</v>
      </c>
      <c r="L25" s="12" t="s">
        <v>35</v>
      </c>
      <c r="M25" s="12" t="s">
        <v>35</v>
      </c>
      <c r="N25" s="12" t="s">
        <v>35</v>
      </c>
      <c r="O25" s="12" t="s">
        <v>35</v>
      </c>
      <c r="P25" s="18"/>
      <c r="Q25" s="18"/>
      <c r="R25" s="12" t="s">
        <v>35</v>
      </c>
      <c r="S25" s="12">
        <v>5</v>
      </c>
      <c r="T25" s="12">
        <v>4</v>
      </c>
      <c r="U25" s="12">
        <v>5</v>
      </c>
      <c r="V25" s="12">
        <v>4</v>
      </c>
      <c r="W25" s="12">
        <v>5</v>
      </c>
    </row>
    <row r="29" spans="1:23" x14ac:dyDescent="0.25">
      <c r="A29" s="24"/>
      <c r="B29" s="1" t="s">
        <v>57</v>
      </c>
      <c r="D29" s="25"/>
      <c r="E29" s="26"/>
    </row>
    <row r="30" spans="1:23" x14ac:dyDescent="0.25">
      <c r="A30" s="27"/>
      <c r="B30" s="1" t="s">
        <v>58</v>
      </c>
      <c r="D30" s="25"/>
      <c r="E30" s="26"/>
    </row>
    <row r="31" spans="1:23" x14ac:dyDescent="0.25">
      <c r="A31" s="28"/>
      <c r="B31" s="1" t="s">
        <v>59</v>
      </c>
      <c r="D31" s="25"/>
      <c r="E31" s="26"/>
    </row>
    <row r="32" spans="1:23" x14ac:dyDescent="0.25">
      <c r="D32" s="25"/>
      <c r="E32" s="26"/>
    </row>
    <row r="34" spans="2:2" x14ac:dyDescent="0.25">
      <c r="B34" s="1" t="s">
        <v>60</v>
      </c>
    </row>
    <row r="35" spans="2:2" x14ac:dyDescent="0.25">
      <c r="B35" s="1" t="s">
        <v>61</v>
      </c>
    </row>
    <row r="36" spans="2:2" x14ac:dyDescent="0.25">
      <c r="B36" s="1" t="s">
        <v>62</v>
      </c>
    </row>
    <row r="37" spans="2:2" x14ac:dyDescent="0.25">
      <c r="B37" s="1" t="s">
        <v>63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workbookViewId="0">
      <selection activeCell="Z23" sqref="Z23"/>
    </sheetView>
  </sheetViews>
  <sheetFormatPr defaultColWidth="14.42578125" defaultRowHeight="15" x14ac:dyDescent="0.25"/>
  <cols>
    <col min="1" max="1" width="8.7109375" customWidth="1"/>
    <col min="2" max="2" width="3.5703125" customWidth="1"/>
    <col min="3" max="11" width="8.7109375" customWidth="1"/>
    <col min="12" max="12" width="6.42578125" customWidth="1"/>
    <col min="13" max="18" width="8.7109375" customWidth="1"/>
    <col min="19" max="19" width="9.42578125" style="62" customWidth="1"/>
    <col min="20" max="20" width="4.140625" customWidth="1"/>
    <col min="21" max="21" width="3" customWidth="1"/>
    <col min="22" max="22" width="7.85546875" customWidth="1"/>
    <col min="23" max="23" width="6.7109375" customWidth="1"/>
    <col min="24" max="24" width="6.85546875" customWidth="1"/>
    <col min="25" max="25" width="9.42578125" customWidth="1"/>
  </cols>
  <sheetData>
    <row r="1" spans="1:24" ht="14.25" customHeight="1" thickBot="1" x14ac:dyDescent="0.3">
      <c r="S1" s="60"/>
      <c r="T1" s="2"/>
      <c r="U1" s="29"/>
    </row>
    <row r="2" spans="1:24" ht="19.5" customHeight="1" thickBot="1" x14ac:dyDescent="0.3">
      <c r="B2" s="30" t="s">
        <v>0</v>
      </c>
      <c r="C2" s="31"/>
      <c r="D2" s="31"/>
      <c r="E2" s="31"/>
      <c r="F2" s="32"/>
      <c r="G2" s="30" t="s">
        <v>1</v>
      </c>
      <c r="H2" s="31"/>
      <c r="I2" s="31"/>
      <c r="J2" s="31"/>
      <c r="K2" s="31"/>
      <c r="L2" s="32"/>
      <c r="M2" s="30" t="s">
        <v>2</v>
      </c>
      <c r="N2" s="31"/>
      <c r="O2" s="31"/>
      <c r="P2" s="31"/>
      <c r="Q2" s="31"/>
      <c r="R2" s="32"/>
      <c r="S2" s="60"/>
      <c r="T2" s="2"/>
      <c r="U2" s="29"/>
    </row>
    <row r="3" spans="1:24" ht="100.5" customHeight="1" x14ac:dyDescent="0.25">
      <c r="A3" s="3" t="s">
        <v>67</v>
      </c>
      <c r="B3" s="4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7" t="s">
        <v>8</v>
      </c>
      <c r="H3" s="8" t="s">
        <v>9</v>
      </c>
      <c r="I3" s="9" t="s">
        <v>10</v>
      </c>
      <c r="J3" s="9" t="s">
        <v>11</v>
      </c>
      <c r="K3" s="9" t="s">
        <v>7</v>
      </c>
      <c r="L3" s="9" t="s">
        <v>12</v>
      </c>
      <c r="M3" s="9" t="s">
        <v>8</v>
      </c>
      <c r="N3" s="9" t="s">
        <v>9</v>
      </c>
      <c r="O3" s="9" t="s">
        <v>13</v>
      </c>
      <c r="P3" s="9" t="s">
        <v>11</v>
      </c>
      <c r="Q3" s="9" t="s">
        <v>7</v>
      </c>
      <c r="R3" s="10" t="s">
        <v>10</v>
      </c>
      <c r="S3" s="61" t="s">
        <v>14</v>
      </c>
      <c r="T3" s="11" t="s">
        <v>68</v>
      </c>
      <c r="U3" s="61" t="s">
        <v>69</v>
      </c>
      <c r="V3" s="59" t="s">
        <v>64</v>
      </c>
      <c r="W3" s="59" t="s">
        <v>65</v>
      </c>
      <c r="X3" s="59" t="s">
        <v>66</v>
      </c>
    </row>
    <row r="4" spans="1:24" ht="14.25" customHeight="1" x14ac:dyDescent="0.25">
      <c r="A4">
        <v>331430</v>
      </c>
      <c r="B4" s="33">
        <v>5</v>
      </c>
      <c r="C4" s="34">
        <v>4</v>
      </c>
      <c r="D4" s="34">
        <v>3</v>
      </c>
      <c r="E4" s="34">
        <v>5</v>
      </c>
      <c r="F4" s="35">
        <v>5</v>
      </c>
      <c r="G4" s="33">
        <v>4</v>
      </c>
      <c r="H4" s="34">
        <v>3</v>
      </c>
      <c r="I4" s="34">
        <v>5</v>
      </c>
      <c r="J4" s="34">
        <v>5</v>
      </c>
      <c r="K4" s="34">
        <v>5</v>
      </c>
      <c r="L4" s="35">
        <v>5</v>
      </c>
      <c r="M4" s="36">
        <v>3</v>
      </c>
      <c r="N4" s="37">
        <v>4</v>
      </c>
      <c r="O4" s="37">
        <v>4</v>
      </c>
      <c r="P4" s="37">
        <v>4</v>
      </c>
      <c r="Q4" s="37">
        <v>5</v>
      </c>
      <c r="R4" s="38">
        <v>4</v>
      </c>
      <c r="S4" s="38">
        <f>AVERAGE(B4:R4)</f>
        <v>4.2941176470588234</v>
      </c>
      <c r="T4" s="38">
        <f>SUM(B4:R4)</f>
        <v>73</v>
      </c>
      <c r="U4" s="29">
        <v>14</v>
      </c>
      <c r="V4" s="57">
        <v>2</v>
      </c>
      <c r="W4" s="57">
        <v>1</v>
      </c>
      <c r="X4" s="57">
        <v>3</v>
      </c>
    </row>
    <row r="5" spans="1:24" ht="14.25" customHeight="1" x14ac:dyDescent="0.25">
      <c r="A5">
        <v>406855</v>
      </c>
      <c r="B5" s="39">
        <v>5</v>
      </c>
      <c r="C5" s="40">
        <v>4</v>
      </c>
      <c r="D5" s="40">
        <v>4</v>
      </c>
      <c r="E5" s="40">
        <v>4</v>
      </c>
      <c r="F5" s="41">
        <v>5</v>
      </c>
      <c r="G5" s="33">
        <v>5</v>
      </c>
      <c r="H5" s="34">
        <v>4</v>
      </c>
      <c r="I5" s="34">
        <v>4</v>
      </c>
      <c r="J5" s="34">
        <v>5</v>
      </c>
      <c r="K5" s="34">
        <v>5</v>
      </c>
      <c r="L5" s="35">
        <v>5</v>
      </c>
      <c r="M5" s="42">
        <v>3</v>
      </c>
      <c r="N5" s="43">
        <v>3</v>
      </c>
      <c r="O5" s="43">
        <v>3</v>
      </c>
      <c r="P5" s="43">
        <v>4</v>
      </c>
      <c r="Q5" s="43">
        <v>5</v>
      </c>
      <c r="R5" s="44">
        <v>3</v>
      </c>
      <c r="S5" s="38">
        <f>AVERAGE(B5:R5)</f>
        <v>4.1764705882352944</v>
      </c>
      <c r="T5" s="38">
        <f t="shared" ref="T5:T45" si="0">SUM(B5:R5)</f>
        <v>71</v>
      </c>
      <c r="U5" s="29">
        <v>15</v>
      </c>
      <c r="V5" s="57">
        <v>0</v>
      </c>
      <c r="W5" s="57">
        <v>0</v>
      </c>
      <c r="X5" s="57">
        <v>0</v>
      </c>
    </row>
    <row r="6" spans="1:24" ht="14.25" customHeight="1" x14ac:dyDescent="0.25">
      <c r="A6">
        <v>564334</v>
      </c>
      <c r="B6" s="33">
        <v>5</v>
      </c>
      <c r="C6" s="34">
        <v>4</v>
      </c>
      <c r="D6" s="34">
        <v>4</v>
      </c>
      <c r="E6" s="34">
        <v>5</v>
      </c>
      <c r="F6" s="35">
        <v>5</v>
      </c>
      <c r="G6" s="33">
        <v>4</v>
      </c>
      <c r="H6" s="34">
        <v>4</v>
      </c>
      <c r="I6" s="34">
        <v>4</v>
      </c>
      <c r="J6" s="34">
        <v>4</v>
      </c>
      <c r="K6" s="34">
        <v>5</v>
      </c>
      <c r="L6" s="35">
        <v>5</v>
      </c>
      <c r="M6" s="36">
        <v>4</v>
      </c>
      <c r="N6" s="37">
        <v>4</v>
      </c>
      <c r="O6" s="37">
        <v>3</v>
      </c>
      <c r="P6" s="37">
        <v>5</v>
      </c>
      <c r="Q6" s="37">
        <v>5</v>
      </c>
      <c r="R6" s="38">
        <v>3</v>
      </c>
      <c r="S6" s="38">
        <f>AVERAGE(B6:R6)</f>
        <v>4.2941176470588234</v>
      </c>
      <c r="T6" s="38">
        <f t="shared" si="0"/>
        <v>73</v>
      </c>
      <c r="U6" s="29">
        <v>13</v>
      </c>
      <c r="V6" s="57">
        <v>1</v>
      </c>
      <c r="W6" s="57">
        <v>2</v>
      </c>
      <c r="X6" s="57">
        <v>3</v>
      </c>
    </row>
    <row r="7" spans="1:24" ht="14.25" customHeight="1" x14ac:dyDescent="0.25">
      <c r="A7">
        <v>894613</v>
      </c>
      <c r="B7" s="39">
        <v>5</v>
      </c>
      <c r="C7" s="40">
        <v>4</v>
      </c>
      <c r="D7" s="40">
        <v>4</v>
      </c>
      <c r="E7" s="40">
        <v>5</v>
      </c>
      <c r="F7" s="41">
        <v>5</v>
      </c>
      <c r="G7" s="33">
        <v>4</v>
      </c>
      <c r="H7" s="34">
        <v>4</v>
      </c>
      <c r="I7" s="34">
        <v>4</v>
      </c>
      <c r="J7" s="34">
        <v>5</v>
      </c>
      <c r="K7" s="34">
        <v>5</v>
      </c>
      <c r="L7" s="35">
        <v>5</v>
      </c>
      <c r="M7" s="42">
        <v>3</v>
      </c>
      <c r="N7" s="43">
        <v>4</v>
      </c>
      <c r="O7" s="43">
        <v>4</v>
      </c>
      <c r="P7" s="43">
        <v>4</v>
      </c>
      <c r="Q7" s="43">
        <v>5</v>
      </c>
      <c r="R7" s="44">
        <v>3</v>
      </c>
      <c r="S7" s="38">
        <f>AVERAGE(B7:R7)</f>
        <v>4.2941176470588234</v>
      </c>
      <c r="T7" s="38">
        <f t="shared" si="0"/>
        <v>73</v>
      </c>
      <c r="U7" s="29">
        <v>12</v>
      </c>
      <c r="V7" s="58">
        <v>3</v>
      </c>
      <c r="W7" s="58">
        <v>1</v>
      </c>
      <c r="X7" s="58">
        <v>2</v>
      </c>
    </row>
    <row r="8" spans="1:24" ht="14.25" customHeight="1" x14ac:dyDescent="0.25">
      <c r="A8">
        <v>366609</v>
      </c>
      <c r="B8" s="33">
        <v>5</v>
      </c>
      <c r="C8" s="34">
        <v>5</v>
      </c>
      <c r="D8" s="34">
        <v>5</v>
      </c>
      <c r="E8" s="34">
        <v>5</v>
      </c>
      <c r="F8" s="35">
        <v>5</v>
      </c>
      <c r="G8" s="33">
        <v>5</v>
      </c>
      <c r="H8" s="34">
        <v>5</v>
      </c>
      <c r="I8" s="34">
        <v>5</v>
      </c>
      <c r="J8" s="34">
        <v>5</v>
      </c>
      <c r="K8" s="34">
        <v>5</v>
      </c>
      <c r="L8" s="35">
        <v>5</v>
      </c>
      <c r="M8" s="36">
        <v>5</v>
      </c>
      <c r="N8" s="37">
        <v>5</v>
      </c>
      <c r="O8" s="37">
        <v>5</v>
      </c>
      <c r="P8" s="37">
        <v>5</v>
      </c>
      <c r="Q8" s="37">
        <v>5</v>
      </c>
      <c r="R8" s="38">
        <v>5</v>
      </c>
      <c r="S8" s="38">
        <f>AVERAGE(B8:R8)</f>
        <v>5</v>
      </c>
      <c r="T8" s="38">
        <f t="shared" si="0"/>
        <v>85</v>
      </c>
      <c r="U8" s="29">
        <v>1</v>
      </c>
      <c r="V8" s="57">
        <v>0</v>
      </c>
      <c r="W8" s="57">
        <v>0</v>
      </c>
      <c r="X8" s="57">
        <v>0</v>
      </c>
    </row>
    <row r="9" spans="1:24" ht="14.25" customHeight="1" x14ac:dyDescent="0.25">
      <c r="A9">
        <v>190122</v>
      </c>
      <c r="B9" s="39">
        <v>5</v>
      </c>
      <c r="C9" s="40">
        <v>3</v>
      </c>
      <c r="D9" s="34">
        <v>2</v>
      </c>
      <c r="E9" s="40">
        <v>5</v>
      </c>
      <c r="F9" s="41">
        <v>5</v>
      </c>
      <c r="G9" s="33">
        <v>5</v>
      </c>
      <c r="H9" s="34">
        <v>3</v>
      </c>
      <c r="I9" s="34">
        <v>3</v>
      </c>
      <c r="J9" s="34">
        <v>3</v>
      </c>
      <c r="K9" s="34">
        <v>5</v>
      </c>
      <c r="L9" s="35">
        <v>5</v>
      </c>
      <c r="M9" s="42">
        <v>3</v>
      </c>
      <c r="N9" s="43">
        <v>2</v>
      </c>
      <c r="O9" s="43">
        <v>5</v>
      </c>
      <c r="P9" s="43">
        <v>2</v>
      </c>
      <c r="Q9" s="43">
        <v>5</v>
      </c>
      <c r="R9" s="44">
        <v>3</v>
      </c>
      <c r="S9" s="38">
        <f>AVERAGE(B9:R9)</f>
        <v>3.7647058823529411</v>
      </c>
      <c r="T9" s="38">
        <f t="shared" si="0"/>
        <v>64</v>
      </c>
      <c r="U9" s="29">
        <v>20</v>
      </c>
      <c r="V9" s="57">
        <v>0</v>
      </c>
      <c r="W9" s="57">
        <v>0</v>
      </c>
      <c r="X9" s="57">
        <v>0</v>
      </c>
    </row>
    <row r="10" spans="1:24" ht="14.25" customHeight="1" x14ac:dyDescent="0.25">
      <c r="A10">
        <v>714473</v>
      </c>
      <c r="B10" s="39">
        <v>5</v>
      </c>
      <c r="C10" s="40">
        <v>5</v>
      </c>
      <c r="D10" s="40">
        <v>5</v>
      </c>
      <c r="E10" s="40">
        <v>5</v>
      </c>
      <c r="F10" s="41">
        <v>5</v>
      </c>
      <c r="G10" s="33">
        <v>5</v>
      </c>
      <c r="H10" s="34">
        <v>5</v>
      </c>
      <c r="I10" s="34">
        <v>5</v>
      </c>
      <c r="J10" s="34">
        <v>5</v>
      </c>
      <c r="K10" s="34">
        <v>5</v>
      </c>
      <c r="L10" s="35">
        <v>5</v>
      </c>
      <c r="M10" s="42">
        <v>4</v>
      </c>
      <c r="N10" s="43">
        <v>5</v>
      </c>
      <c r="O10" s="43">
        <v>5</v>
      </c>
      <c r="P10" s="43">
        <v>5</v>
      </c>
      <c r="Q10" s="43">
        <v>5</v>
      </c>
      <c r="R10" s="44">
        <v>4</v>
      </c>
      <c r="S10" s="38">
        <f>AVERAGE(B10:R10)</f>
        <v>4.882352941176471</v>
      </c>
      <c r="T10" s="38">
        <f t="shared" si="0"/>
        <v>83</v>
      </c>
      <c r="U10" s="29">
        <v>3</v>
      </c>
      <c r="V10" s="57">
        <v>2</v>
      </c>
      <c r="W10" s="57">
        <v>1</v>
      </c>
      <c r="X10" s="57">
        <v>3</v>
      </c>
    </row>
    <row r="11" spans="1:24" ht="14.25" customHeight="1" x14ac:dyDescent="0.25">
      <c r="A11">
        <v>604388</v>
      </c>
      <c r="B11" s="39">
        <v>5</v>
      </c>
      <c r="C11" s="40">
        <v>5</v>
      </c>
      <c r="D11" s="40">
        <v>5</v>
      </c>
      <c r="E11" s="40">
        <v>5</v>
      </c>
      <c r="F11" s="41">
        <v>5</v>
      </c>
      <c r="G11" s="33">
        <v>5</v>
      </c>
      <c r="H11" s="34">
        <v>5</v>
      </c>
      <c r="I11" s="34">
        <v>5</v>
      </c>
      <c r="J11" s="34">
        <v>5</v>
      </c>
      <c r="K11" s="34">
        <v>5</v>
      </c>
      <c r="L11" s="35">
        <v>5</v>
      </c>
      <c r="M11" s="42">
        <v>5</v>
      </c>
      <c r="N11" s="43">
        <v>5</v>
      </c>
      <c r="O11" s="43">
        <v>5</v>
      </c>
      <c r="P11" s="43">
        <v>5</v>
      </c>
      <c r="Q11" s="43">
        <v>5</v>
      </c>
      <c r="R11" s="44">
        <v>5</v>
      </c>
      <c r="S11" s="38">
        <f>AVERAGE(B11:R11)</f>
        <v>5</v>
      </c>
      <c r="T11" s="38">
        <f t="shared" si="0"/>
        <v>85</v>
      </c>
      <c r="U11" s="29">
        <v>1</v>
      </c>
      <c r="V11" s="57">
        <v>3</v>
      </c>
      <c r="W11" s="57">
        <v>2</v>
      </c>
      <c r="X11" s="57">
        <v>1</v>
      </c>
    </row>
    <row r="12" spans="1:24" ht="14.25" customHeight="1" x14ac:dyDescent="0.25">
      <c r="A12">
        <v>702975</v>
      </c>
      <c r="B12" s="39">
        <v>5</v>
      </c>
      <c r="C12" s="40">
        <v>4</v>
      </c>
      <c r="D12" s="40">
        <v>4</v>
      </c>
      <c r="E12" s="40">
        <v>5</v>
      </c>
      <c r="F12" s="41">
        <v>5</v>
      </c>
      <c r="G12" s="33">
        <v>4</v>
      </c>
      <c r="H12" s="34">
        <v>5</v>
      </c>
      <c r="I12" s="34">
        <v>5</v>
      </c>
      <c r="J12" s="34">
        <v>5</v>
      </c>
      <c r="K12" s="34">
        <v>5</v>
      </c>
      <c r="L12" s="35">
        <v>4</v>
      </c>
      <c r="M12" s="42">
        <v>4</v>
      </c>
      <c r="N12" s="43">
        <v>5</v>
      </c>
      <c r="O12" s="43">
        <v>5</v>
      </c>
      <c r="P12" s="43">
        <v>5</v>
      </c>
      <c r="Q12" s="43">
        <v>4</v>
      </c>
      <c r="R12" s="44">
        <v>5</v>
      </c>
      <c r="S12" s="38">
        <f>AVERAGE(B12:R12)</f>
        <v>4.6470588235294121</v>
      </c>
      <c r="T12" s="38">
        <f t="shared" si="0"/>
        <v>79</v>
      </c>
      <c r="U12" s="29">
        <v>8</v>
      </c>
      <c r="V12" s="57">
        <v>2</v>
      </c>
      <c r="W12" s="57">
        <v>3</v>
      </c>
      <c r="X12" s="57">
        <v>1</v>
      </c>
    </row>
    <row r="13" spans="1:24" ht="14.25" customHeight="1" x14ac:dyDescent="0.25">
      <c r="A13">
        <v>449867</v>
      </c>
      <c r="B13" s="33">
        <v>5</v>
      </c>
      <c r="C13" s="34">
        <v>5</v>
      </c>
      <c r="D13" s="34">
        <v>5</v>
      </c>
      <c r="E13" s="34">
        <v>5</v>
      </c>
      <c r="F13" s="35">
        <v>5</v>
      </c>
      <c r="G13" s="33">
        <v>5</v>
      </c>
      <c r="H13" s="34">
        <v>5</v>
      </c>
      <c r="I13" s="34">
        <v>5</v>
      </c>
      <c r="J13" s="34">
        <v>5</v>
      </c>
      <c r="K13" s="34">
        <v>5</v>
      </c>
      <c r="L13" s="35">
        <v>5</v>
      </c>
      <c r="M13" s="36">
        <v>4</v>
      </c>
      <c r="N13" s="37">
        <v>5</v>
      </c>
      <c r="O13" s="37">
        <v>5</v>
      </c>
      <c r="P13" s="37">
        <v>5</v>
      </c>
      <c r="Q13" s="37">
        <v>5</v>
      </c>
      <c r="R13" s="38">
        <v>5</v>
      </c>
      <c r="S13" s="38">
        <f>AVERAGE(B13:R13)</f>
        <v>4.9411764705882355</v>
      </c>
      <c r="T13" s="38">
        <f t="shared" si="0"/>
        <v>84</v>
      </c>
      <c r="U13" s="29">
        <v>2</v>
      </c>
      <c r="V13" s="57">
        <v>0</v>
      </c>
      <c r="W13" s="57">
        <v>0</v>
      </c>
      <c r="X13" s="57">
        <v>0</v>
      </c>
    </row>
    <row r="14" spans="1:24" ht="14.25" customHeight="1" x14ac:dyDescent="0.25">
      <c r="A14">
        <v>473699</v>
      </c>
      <c r="B14" s="33">
        <v>5</v>
      </c>
      <c r="C14" s="34">
        <v>5</v>
      </c>
      <c r="D14" s="34">
        <v>4</v>
      </c>
      <c r="E14" s="34">
        <v>5</v>
      </c>
      <c r="F14" s="35">
        <v>5</v>
      </c>
      <c r="G14" s="33">
        <v>5</v>
      </c>
      <c r="H14" s="34">
        <v>4</v>
      </c>
      <c r="I14" s="34">
        <v>5</v>
      </c>
      <c r="J14" s="34">
        <v>4</v>
      </c>
      <c r="K14" s="34">
        <v>5</v>
      </c>
      <c r="L14" s="35">
        <v>5</v>
      </c>
      <c r="M14" s="36">
        <v>5</v>
      </c>
      <c r="N14" s="37">
        <v>5</v>
      </c>
      <c r="O14" s="37">
        <v>5</v>
      </c>
      <c r="P14" s="37">
        <v>5</v>
      </c>
      <c r="Q14" s="37">
        <v>5</v>
      </c>
      <c r="R14" s="38">
        <v>4</v>
      </c>
      <c r="S14" s="38">
        <f>AVERAGE(B14:R14)</f>
        <v>4.7647058823529411</v>
      </c>
      <c r="T14" s="38">
        <f t="shared" si="0"/>
        <v>81</v>
      </c>
      <c r="U14" s="29">
        <v>6</v>
      </c>
      <c r="V14" s="57">
        <v>0</v>
      </c>
      <c r="W14" s="57">
        <v>0</v>
      </c>
      <c r="X14" s="57">
        <v>0</v>
      </c>
    </row>
    <row r="15" spans="1:24" ht="14.25" customHeight="1" x14ac:dyDescent="0.25">
      <c r="A15">
        <v>375035</v>
      </c>
      <c r="B15" s="33">
        <v>5</v>
      </c>
      <c r="C15" s="34">
        <v>4</v>
      </c>
      <c r="D15" s="34">
        <v>2</v>
      </c>
      <c r="E15" s="34">
        <v>4</v>
      </c>
      <c r="F15" s="35">
        <v>5</v>
      </c>
      <c r="G15" s="33">
        <v>4</v>
      </c>
      <c r="H15" s="34">
        <v>3</v>
      </c>
      <c r="I15" s="34">
        <v>3</v>
      </c>
      <c r="J15" s="34">
        <v>3</v>
      </c>
      <c r="K15" s="34">
        <v>5</v>
      </c>
      <c r="L15" s="35">
        <v>5</v>
      </c>
      <c r="M15" s="36">
        <v>3</v>
      </c>
      <c r="N15" s="37">
        <v>4</v>
      </c>
      <c r="O15" s="37">
        <v>4</v>
      </c>
      <c r="P15" s="37">
        <v>5</v>
      </c>
      <c r="Q15" s="37">
        <v>5</v>
      </c>
      <c r="R15" s="35">
        <v>3</v>
      </c>
      <c r="S15" s="38">
        <f>AVERAGE(B15:R15)</f>
        <v>3.9411764705882355</v>
      </c>
      <c r="T15" s="38">
        <f t="shared" si="0"/>
        <v>67</v>
      </c>
      <c r="U15" s="29">
        <v>16</v>
      </c>
      <c r="V15" s="57">
        <v>2</v>
      </c>
      <c r="W15" s="57">
        <v>3</v>
      </c>
      <c r="X15" s="57">
        <v>1</v>
      </c>
    </row>
    <row r="16" spans="1:24" ht="14.25" customHeight="1" x14ac:dyDescent="0.25">
      <c r="A16">
        <v>302756</v>
      </c>
      <c r="B16" s="33">
        <v>5</v>
      </c>
      <c r="C16" s="34">
        <v>4</v>
      </c>
      <c r="D16" s="34">
        <v>5</v>
      </c>
      <c r="E16" s="34">
        <v>5</v>
      </c>
      <c r="F16" s="35">
        <v>5</v>
      </c>
      <c r="G16" s="33">
        <v>5</v>
      </c>
      <c r="H16" s="34">
        <v>5</v>
      </c>
      <c r="I16" s="34">
        <v>5</v>
      </c>
      <c r="J16" s="34">
        <v>5</v>
      </c>
      <c r="K16" s="34">
        <v>5</v>
      </c>
      <c r="L16" s="35">
        <v>5</v>
      </c>
      <c r="M16" s="36">
        <v>5</v>
      </c>
      <c r="N16" s="37">
        <v>5</v>
      </c>
      <c r="O16" s="37">
        <v>5</v>
      </c>
      <c r="P16" s="37">
        <v>5</v>
      </c>
      <c r="Q16" s="37">
        <v>5</v>
      </c>
      <c r="R16" s="38">
        <v>5</v>
      </c>
      <c r="S16" s="38">
        <f>AVERAGE(B16:R16)</f>
        <v>4.9411764705882355</v>
      </c>
      <c r="T16" s="38">
        <f t="shared" si="0"/>
        <v>84</v>
      </c>
      <c r="U16" s="29">
        <v>2</v>
      </c>
      <c r="V16" s="57">
        <v>0</v>
      </c>
      <c r="W16" s="57">
        <v>0</v>
      </c>
      <c r="X16" s="57">
        <v>0</v>
      </c>
    </row>
    <row r="17" spans="1:24" ht="14.25" customHeight="1" x14ac:dyDescent="0.25">
      <c r="A17">
        <v>592028</v>
      </c>
      <c r="B17" s="39">
        <v>5</v>
      </c>
      <c r="C17" s="40">
        <v>5</v>
      </c>
      <c r="D17" s="40">
        <v>5</v>
      </c>
      <c r="E17" s="40">
        <v>5</v>
      </c>
      <c r="F17" s="41">
        <v>5</v>
      </c>
      <c r="G17" s="33">
        <v>5</v>
      </c>
      <c r="H17" s="34">
        <v>4</v>
      </c>
      <c r="I17" s="34">
        <v>5</v>
      </c>
      <c r="J17" s="34">
        <v>5</v>
      </c>
      <c r="K17" s="34">
        <v>5</v>
      </c>
      <c r="L17" s="35">
        <v>5</v>
      </c>
      <c r="M17" s="42">
        <v>4</v>
      </c>
      <c r="N17" s="43">
        <v>5</v>
      </c>
      <c r="O17" s="43">
        <v>5</v>
      </c>
      <c r="P17" s="43">
        <v>5</v>
      </c>
      <c r="Q17" s="43">
        <v>5</v>
      </c>
      <c r="R17" s="44">
        <v>5</v>
      </c>
      <c r="S17" s="38">
        <f>AVERAGE(B17:R17)</f>
        <v>4.882352941176471</v>
      </c>
      <c r="T17" s="38">
        <f t="shared" si="0"/>
        <v>83</v>
      </c>
      <c r="U17" s="29">
        <v>3</v>
      </c>
      <c r="V17" s="57">
        <v>3</v>
      </c>
      <c r="W17" s="57">
        <v>2</v>
      </c>
      <c r="X17" s="57">
        <v>1</v>
      </c>
    </row>
    <row r="18" spans="1:24" ht="14.25" customHeight="1" x14ac:dyDescent="0.25">
      <c r="A18">
        <v>581151</v>
      </c>
      <c r="B18" s="33">
        <v>5</v>
      </c>
      <c r="C18" s="34">
        <v>5</v>
      </c>
      <c r="D18" s="34">
        <v>4</v>
      </c>
      <c r="E18" s="34">
        <v>5</v>
      </c>
      <c r="F18" s="35">
        <v>5</v>
      </c>
      <c r="G18" s="33">
        <v>5</v>
      </c>
      <c r="H18" s="34">
        <v>4</v>
      </c>
      <c r="I18" s="34">
        <v>5</v>
      </c>
      <c r="J18" s="34">
        <v>4</v>
      </c>
      <c r="K18" s="34">
        <v>5</v>
      </c>
      <c r="L18" s="35">
        <v>5</v>
      </c>
      <c r="M18" s="36">
        <v>3</v>
      </c>
      <c r="N18" s="37">
        <v>5</v>
      </c>
      <c r="O18" s="37">
        <v>3</v>
      </c>
      <c r="P18" s="37">
        <v>5</v>
      </c>
      <c r="Q18" s="37">
        <v>5</v>
      </c>
      <c r="R18" s="38">
        <v>4</v>
      </c>
      <c r="S18" s="38">
        <f>AVERAGE(B18:R18)</f>
        <v>4.5294117647058822</v>
      </c>
      <c r="T18" s="38">
        <f t="shared" si="0"/>
        <v>77</v>
      </c>
      <c r="U18" s="29">
        <v>10</v>
      </c>
      <c r="V18" s="57">
        <v>1</v>
      </c>
      <c r="W18" s="57">
        <v>2</v>
      </c>
      <c r="X18" s="57">
        <v>3</v>
      </c>
    </row>
    <row r="19" spans="1:24" ht="14.25" customHeight="1" x14ac:dyDescent="0.25">
      <c r="A19">
        <v>232693</v>
      </c>
      <c r="B19" s="39">
        <v>5</v>
      </c>
      <c r="C19" s="40">
        <v>5</v>
      </c>
      <c r="D19" s="40">
        <v>5</v>
      </c>
      <c r="E19" s="40">
        <v>5</v>
      </c>
      <c r="F19" s="41">
        <v>5</v>
      </c>
      <c r="G19" s="33">
        <v>5</v>
      </c>
      <c r="H19" s="34">
        <v>4</v>
      </c>
      <c r="I19" s="34">
        <v>5</v>
      </c>
      <c r="J19" s="34">
        <v>5</v>
      </c>
      <c r="K19" s="34">
        <v>5</v>
      </c>
      <c r="L19" s="35">
        <v>4</v>
      </c>
      <c r="M19" s="42">
        <v>3</v>
      </c>
      <c r="N19" s="43">
        <v>5</v>
      </c>
      <c r="O19" s="43">
        <v>5</v>
      </c>
      <c r="P19" s="43">
        <v>5</v>
      </c>
      <c r="Q19" s="43">
        <v>5</v>
      </c>
      <c r="R19" s="44">
        <v>4</v>
      </c>
      <c r="S19" s="38">
        <f>AVERAGE(B19:R19)</f>
        <v>4.7058823529411766</v>
      </c>
      <c r="T19" s="38">
        <f t="shared" si="0"/>
        <v>80</v>
      </c>
      <c r="U19" s="29">
        <v>7</v>
      </c>
      <c r="V19" s="57">
        <v>1</v>
      </c>
      <c r="W19" s="57">
        <v>3</v>
      </c>
      <c r="X19" s="57">
        <v>2</v>
      </c>
    </row>
    <row r="20" spans="1:24" ht="14.25" customHeight="1" x14ac:dyDescent="0.25">
      <c r="A20">
        <v>637756</v>
      </c>
      <c r="B20" s="33">
        <v>5</v>
      </c>
      <c r="C20" s="34">
        <v>5</v>
      </c>
      <c r="D20" s="34">
        <v>5</v>
      </c>
      <c r="E20" s="34">
        <v>5</v>
      </c>
      <c r="F20" s="35">
        <v>5</v>
      </c>
      <c r="G20" s="33">
        <v>5</v>
      </c>
      <c r="H20" s="34">
        <v>5</v>
      </c>
      <c r="I20" s="34">
        <v>5</v>
      </c>
      <c r="J20" s="34">
        <v>5</v>
      </c>
      <c r="K20" s="34">
        <v>5</v>
      </c>
      <c r="L20" s="35">
        <v>5</v>
      </c>
      <c r="M20" s="36">
        <v>5</v>
      </c>
      <c r="N20" s="37">
        <v>5</v>
      </c>
      <c r="O20" s="37">
        <v>5</v>
      </c>
      <c r="P20" s="37">
        <v>5</v>
      </c>
      <c r="Q20" s="37">
        <v>5</v>
      </c>
      <c r="R20" s="38">
        <v>5</v>
      </c>
      <c r="S20" s="38">
        <f>AVERAGE(B20:R20)</f>
        <v>5</v>
      </c>
      <c r="T20" s="38">
        <f t="shared" si="0"/>
        <v>85</v>
      </c>
      <c r="U20" s="29">
        <v>1</v>
      </c>
      <c r="V20" s="57">
        <v>0</v>
      </c>
      <c r="W20" s="57">
        <v>0</v>
      </c>
      <c r="X20" s="57">
        <v>0</v>
      </c>
    </row>
    <row r="21" spans="1:24" ht="14.25" customHeight="1" x14ac:dyDescent="0.25">
      <c r="A21">
        <v>254592</v>
      </c>
      <c r="B21" s="39">
        <v>5</v>
      </c>
      <c r="C21" s="40">
        <v>4</v>
      </c>
      <c r="D21" s="40">
        <v>5</v>
      </c>
      <c r="E21" s="40">
        <v>5</v>
      </c>
      <c r="F21" s="41">
        <v>5</v>
      </c>
      <c r="G21" s="33">
        <v>5</v>
      </c>
      <c r="H21" s="34">
        <v>5</v>
      </c>
      <c r="I21" s="34">
        <v>5</v>
      </c>
      <c r="J21" s="34">
        <v>5</v>
      </c>
      <c r="K21" s="34">
        <v>5</v>
      </c>
      <c r="L21" s="35">
        <v>4</v>
      </c>
      <c r="M21" s="42">
        <v>5</v>
      </c>
      <c r="N21" s="43">
        <v>5</v>
      </c>
      <c r="O21" s="43">
        <v>5</v>
      </c>
      <c r="P21" s="43">
        <v>5</v>
      </c>
      <c r="Q21" s="43">
        <v>5</v>
      </c>
      <c r="R21" s="44">
        <v>5</v>
      </c>
      <c r="S21" s="38">
        <f>AVERAGE(B21:R21)</f>
        <v>4.882352941176471</v>
      </c>
      <c r="T21" s="38">
        <f t="shared" si="0"/>
        <v>83</v>
      </c>
      <c r="U21" s="29">
        <v>3</v>
      </c>
      <c r="V21" s="57">
        <v>0</v>
      </c>
      <c r="W21" s="57">
        <v>0</v>
      </c>
      <c r="X21" s="57">
        <v>0</v>
      </c>
    </row>
    <row r="22" spans="1:24" ht="14.25" customHeight="1" x14ac:dyDescent="0.25">
      <c r="A22">
        <v>843668</v>
      </c>
      <c r="B22" s="33">
        <v>5</v>
      </c>
      <c r="C22" s="34">
        <v>4</v>
      </c>
      <c r="D22" s="34">
        <v>5</v>
      </c>
      <c r="E22" s="34">
        <v>4</v>
      </c>
      <c r="F22" s="35">
        <v>5</v>
      </c>
      <c r="G22" s="33">
        <v>5</v>
      </c>
      <c r="H22" s="34">
        <v>5</v>
      </c>
      <c r="I22" s="34">
        <v>5</v>
      </c>
      <c r="J22" s="34">
        <v>4</v>
      </c>
      <c r="K22" s="34">
        <v>5</v>
      </c>
      <c r="L22" s="35">
        <v>4</v>
      </c>
      <c r="M22" s="36">
        <v>4</v>
      </c>
      <c r="N22" s="37">
        <v>5</v>
      </c>
      <c r="O22" s="37">
        <v>5</v>
      </c>
      <c r="P22" s="37">
        <v>5</v>
      </c>
      <c r="Q22" s="37">
        <v>5</v>
      </c>
      <c r="R22" s="38">
        <v>4</v>
      </c>
      <c r="S22" s="38">
        <f>AVERAGE(B22:R22)</f>
        <v>4.6470588235294121</v>
      </c>
      <c r="T22" s="38">
        <f t="shared" si="0"/>
        <v>79</v>
      </c>
      <c r="U22" s="29">
        <v>8</v>
      </c>
      <c r="V22" s="58">
        <v>2</v>
      </c>
      <c r="W22" s="58">
        <v>3</v>
      </c>
      <c r="X22" s="58">
        <v>1</v>
      </c>
    </row>
    <row r="23" spans="1:24" ht="14.25" customHeight="1" thickBot="1" x14ac:dyDescent="0.3">
      <c r="A23">
        <v>956875</v>
      </c>
      <c r="B23" s="45">
        <v>5</v>
      </c>
      <c r="C23" s="46">
        <v>5</v>
      </c>
      <c r="D23" s="46">
        <v>5</v>
      </c>
      <c r="E23" s="46">
        <v>5</v>
      </c>
      <c r="F23" s="47">
        <v>5</v>
      </c>
      <c r="G23" s="48">
        <v>5</v>
      </c>
      <c r="H23" s="49">
        <v>5</v>
      </c>
      <c r="I23" s="49">
        <v>5</v>
      </c>
      <c r="J23" s="49">
        <v>5</v>
      </c>
      <c r="K23" s="49">
        <v>5</v>
      </c>
      <c r="L23" s="50">
        <v>4</v>
      </c>
      <c r="M23" s="51">
        <v>4</v>
      </c>
      <c r="N23" s="52">
        <v>5</v>
      </c>
      <c r="O23" s="52">
        <v>5</v>
      </c>
      <c r="P23" s="52">
        <v>5</v>
      </c>
      <c r="Q23" s="52">
        <v>4</v>
      </c>
      <c r="R23" s="53">
        <v>5</v>
      </c>
      <c r="S23" s="38">
        <f>AVERAGE(B23:R23)</f>
        <v>4.8235294117647056</v>
      </c>
      <c r="T23" s="38">
        <f t="shared" si="0"/>
        <v>82</v>
      </c>
      <c r="U23" s="29">
        <v>4</v>
      </c>
      <c r="V23" s="57">
        <v>3</v>
      </c>
      <c r="W23" s="57">
        <v>2</v>
      </c>
      <c r="X23" s="57">
        <v>1</v>
      </c>
    </row>
    <row r="24" spans="1:24" ht="14.25" customHeight="1" x14ac:dyDescent="0.25">
      <c r="A24">
        <v>363222</v>
      </c>
      <c r="B24" s="39">
        <v>5</v>
      </c>
      <c r="C24" s="40">
        <v>4</v>
      </c>
      <c r="D24" s="40">
        <v>4</v>
      </c>
      <c r="E24" s="40">
        <v>5</v>
      </c>
      <c r="F24" s="41">
        <v>5</v>
      </c>
      <c r="G24" s="33">
        <v>5</v>
      </c>
      <c r="H24" s="34">
        <v>5</v>
      </c>
      <c r="I24" s="34">
        <v>5</v>
      </c>
      <c r="J24" s="34">
        <v>4</v>
      </c>
      <c r="K24" s="34">
        <v>5</v>
      </c>
      <c r="L24" s="35">
        <v>4</v>
      </c>
      <c r="M24" s="42">
        <v>5</v>
      </c>
      <c r="N24" s="43">
        <v>5</v>
      </c>
      <c r="O24" s="43">
        <v>5</v>
      </c>
      <c r="P24" s="43">
        <v>4</v>
      </c>
      <c r="Q24" s="43">
        <v>5</v>
      </c>
      <c r="R24" s="44">
        <v>4</v>
      </c>
      <c r="S24" s="38">
        <f>AVERAGE(B24:R24)</f>
        <v>4.6470588235294121</v>
      </c>
      <c r="T24" s="38">
        <f t="shared" si="0"/>
        <v>79</v>
      </c>
      <c r="U24" s="29">
        <v>8</v>
      </c>
      <c r="V24" s="57">
        <v>3</v>
      </c>
      <c r="W24" s="57">
        <v>2</v>
      </c>
      <c r="X24" s="57">
        <v>1</v>
      </c>
    </row>
    <row r="25" spans="1:24" ht="14.25" customHeight="1" x14ac:dyDescent="0.25">
      <c r="A25">
        <v>530117</v>
      </c>
      <c r="B25" s="33">
        <v>5</v>
      </c>
      <c r="C25" s="34">
        <v>4</v>
      </c>
      <c r="D25" s="34">
        <v>5</v>
      </c>
      <c r="E25" s="34">
        <v>5</v>
      </c>
      <c r="F25" s="35">
        <v>5</v>
      </c>
      <c r="G25" s="33">
        <v>5</v>
      </c>
      <c r="H25" s="34">
        <v>5</v>
      </c>
      <c r="I25" s="34">
        <v>5</v>
      </c>
      <c r="J25" s="34">
        <v>4</v>
      </c>
      <c r="K25" s="34">
        <v>5</v>
      </c>
      <c r="L25" s="35">
        <v>5</v>
      </c>
      <c r="M25" s="36">
        <v>5</v>
      </c>
      <c r="N25" s="37">
        <v>5</v>
      </c>
      <c r="O25" s="37">
        <v>5</v>
      </c>
      <c r="P25" s="37">
        <v>5</v>
      </c>
      <c r="Q25" s="37">
        <v>5</v>
      </c>
      <c r="R25" s="38">
        <v>4</v>
      </c>
      <c r="S25" s="38">
        <f>AVERAGE(B25:R25)</f>
        <v>4.8235294117647056</v>
      </c>
      <c r="T25" s="38">
        <f t="shared" si="0"/>
        <v>82</v>
      </c>
      <c r="U25" s="29">
        <v>4</v>
      </c>
      <c r="V25" s="57">
        <v>1</v>
      </c>
      <c r="W25" s="57">
        <v>2</v>
      </c>
      <c r="X25" s="57">
        <v>3</v>
      </c>
    </row>
    <row r="26" spans="1:24" ht="14.25" customHeight="1" x14ac:dyDescent="0.25">
      <c r="A26">
        <v>898624</v>
      </c>
      <c r="B26" s="33">
        <v>5</v>
      </c>
      <c r="C26" s="34">
        <v>4</v>
      </c>
      <c r="D26" s="34">
        <v>4</v>
      </c>
      <c r="E26" s="34">
        <v>4</v>
      </c>
      <c r="F26" s="35">
        <v>5</v>
      </c>
      <c r="G26" s="33">
        <v>4</v>
      </c>
      <c r="H26" s="34">
        <v>3</v>
      </c>
      <c r="I26" s="34">
        <v>4</v>
      </c>
      <c r="J26" s="34">
        <v>4</v>
      </c>
      <c r="K26" s="34">
        <v>5</v>
      </c>
      <c r="L26" s="35">
        <v>4</v>
      </c>
      <c r="M26" s="36">
        <v>3</v>
      </c>
      <c r="N26" s="37">
        <v>5</v>
      </c>
      <c r="O26" s="37">
        <v>3</v>
      </c>
      <c r="P26" s="37">
        <v>5</v>
      </c>
      <c r="Q26" s="37">
        <v>5</v>
      </c>
      <c r="R26" s="38">
        <v>4</v>
      </c>
      <c r="S26" s="38">
        <f>AVERAGE(B26:R26)</f>
        <v>4.1764705882352944</v>
      </c>
      <c r="T26" s="38">
        <f t="shared" si="0"/>
        <v>71</v>
      </c>
      <c r="U26" s="29">
        <v>15</v>
      </c>
      <c r="V26" s="57">
        <v>1</v>
      </c>
      <c r="W26" s="57">
        <v>2</v>
      </c>
      <c r="X26" s="57">
        <v>3</v>
      </c>
    </row>
    <row r="27" spans="1:24" ht="14.25" customHeight="1" x14ac:dyDescent="0.25">
      <c r="A27">
        <v>497747</v>
      </c>
      <c r="B27" s="39">
        <v>5</v>
      </c>
      <c r="C27" s="40">
        <v>5</v>
      </c>
      <c r="D27" s="40">
        <v>5</v>
      </c>
      <c r="E27" s="40">
        <v>5</v>
      </c>
      <c r="F27" s="41">
        <v>5</v>
      </c>
      <c r="G27" s="33">
        <v>5</v>
      </c>
      <c r="H27" s="34">
        <v>5</v>
      </c>
      <c r="I27" s="34">
        <v>5</v>
      </c>
      <c r="J27" s="34">
        <v>4</v>
      </c>
      <c r="K27" s="34">
        <v>5</v>
      </c>
      <c r="L27" s="35">
        <v>5</v>
      </c>
      <c r="M27" s="42">
        <v>4</v>
      </c>
      <c r="N27" s="43">
        <v>5</v>
      </c>
      <c r="O27" s="43">
        <v>5</v>
      </c>
      <c r="P27" s="43">
        <v>5</v>
      </c>
      <c r="Q27" s="43">
        <v>5</v>
      </c>
      <c r="R27" s="44">
        <v>5</v>
      </c>
      <c r="S27" s="38">
        <f>AVERAGE(B27:R27)</f>
        <v>4.882352941176471</v>
      </c>
      <c r="T27" s="38">
        <f t="shared" si="0"/>
        <v>83</v>
      </c>
      <c r="U27" s="29">
        <v>3</v>
      </c>
      <c r="V27" s="57">
        <v>2</v>
      </c>
      <c r="W27" s="57">
        <v>1</v>
      </c>
      <c r="X27" s="57">
        <v>3</v>
      </c>
    </row>
    <row r="28" spans="1:24" ht="14.25" customHeight="1" x14ac:dyDescent="0.25">
      <c r="A28">
        <v>121139</v>
      </c>
      <c r="B28" s="33">
        <v>5</v>
      </c>
      <c r="C28" s="34">
        <v>3</v>
      </c>
      <c r="D28" s="34">
        <v>2</v>
      </c>
      <c r="E28" s="34">
        <v>5</v>
      </c>
      <c r="F28" s="35">
        <v>5</v>
      </c>
      <c r="G28" s="33">
        <v>4</v>
      </c>
      <c r="H28" s="34">
        <v>3</v>
      </c>
      <c r="I28" s="34">
        <v>2</v>
      </c>
      <c r="J28" s="34">
        <v>4</v>
      </c>
      <c r="K28" s="34">
        <v>4</v>
      </c>
      <c r="L28" s="35">
        <v>5</v>
      </c>
      <c r="M28" s="36">
        <v>5</v>
      </c>
      <c r="N28" s="37">
        <v>3</v>
      </c>
      <c r="O28" s="37">
        <v>3</v>
      </c>
      <c r="P28" s="37">
        <v>5</v>
      </c>
      <c r="Q28" s="37">
        <v>5</v>
      </c>
      <c r="R28" s="35">
        <v>3</v>
      </c>
      <c r="S28" s="38">
        <f>AVERAGE(B28:R28)</f>
        <v>3.8823529411764706</v>
      </c>
      <c r="T28" s="38">
        <f t="shared" si="0"/>
        <v>66</v>
      </c>
      <c r="U28" s="29">
        <v>16</v>
      </c>
      <c r="V28" s="57">
        <v>3</v>
      </c>
      <c r="W28" s="57">
        <v>1</v>
      </c>
      <c r="X28" s="57">
        <v>2</v>
      </c>
    </row>
    <row r="29" spans="1:24" ht="14.25" customHeight="1" x14ac:dyDescent="0.25">
      <c r="A29">
        <v>874990</v>
      </c>
      <c r="B29" s="39">
        <v>5</v>
      </c>
      <c r="C29" s="40">
        <v>5</v>
      </c>
      <c r="D29" s="40">
        <v>5</v>
      </c>
      <c r="E29" s="40">
        <v>5</v>
      </c>
      <c r="F29" s="41">
        <v>5</v>
      </c>
      <c r="G29" s="33">
        <v>5</v>
      </c>
      <c r="H29" s="34">
        <v>5</v>
      </c>
      <c r="I29" s="34">
        <v>5</v>
      </c>
      <c r="J29" s="34">
        <v>5</v>
      </c>
      <c r="K29" s="34">
        <v>5</v>
      </c>
      <c r="L29" s="35">
        <v>5</v>
      </c>
      <c r="M29" s="42">
        <v>4</v>
      </c>
      <c r="N29" s="43">
        <v>5</v>
      </c>
      <c r="O29" s="43">
        <v>5</v>
      </c>
      <c r="P29" s="43">
        <v>5</v>
      </c>
      <c r="Q29" s="43">
        <v>5</v>
      </c>
      <c r="R29" s="44">
        <v>5</v>
      </c>
      <c r="S29" s="38">
        <f>AVERAGE(B29:R29)</f>
        <v>4.9411764705882355</v>
      </c>
      <c r="T29" s="38">
        <f t="shared" si="0"/>
        <v>84</v>
      </c>
      <c r="U29" s="29">
        <v>2</v>
      </c>
      <c r="V29" s="57">
        <v>3</v>
      </c>
      <c r="W29" s="57">
        <v>1</v>
      </c>
      <c r="X29" s="57">
        <v>2</v>
      </c>
    </row>
    <row r="30" spans="1:24" ht="14.25" customHeight="1" x14ac:dyDescent="0.25">
      <c r="A30">
        <v>596500</v>
      </c>
      <c r="B30" s="33">
        <v>5</v>
      </c>
      <c r="C30" s="34">
        <v>5</v>
      </c>
      <c r="D30" s="34">
        <v>5</v>
      </c>
      <c r="E30" s="34">
        <v>5</v>
      </c>
      <c r="F30" s="35">
        <v>5</v>
      </c>
      <c r="G30" s="33">
        <v>5</v>
      </c>
      <c r="H30" s="34">
        <v>5</v>
      </c>
      <c r="I30" s="34">
        <v>5</v>
      </c>
      <c r="J30" s="34">
        <v>5</v>
      </c>
      <c r="K30" s="34">
        <v>5</v>
      </c>
      <c r="L30" s="35">
        <v>5</v>
      </c>
      <c r="M30" s="36">
        <v>5</v>
      </c>
      <c r="N30" s="37">
        <v>5</v>
      </c>
      <c r="O30" s="37">
        <v>5</v>
      </c>
      <c r="P30" s="37">
        <v>5</v>
      </c>
      <c r="Q30" s="37">
        <v>5</v>
      </c>
      <c r="R30" s="38">
        <v>5</v>
      </c>
      <c r="S30" s="38">
        <f>AVERAGE(B30:R30)</f>
        <v>5</v>
      </c>
      <c r="T30" s="38">
        <f t="shared" si="0"/>
        <v>85</v>
      </c>
      <c r="U30" s="29">
        <v>1</v>
      </c>
      <c r="V30" s="57">
        <v>3</v>
      </c>
      <c r="W30" s="57">
        <v>2</v>
      </c>
      <c r="X30" s="57">
        <v>1</v>
      </c>
    </row>
    <row r="31" spans="1:24" ht="14.25" customHeight="1" x14ac:dyDescent="0.25">
      <c r="A31">
        <v>968944</v>
      </c>
      <c r="B31" s="39">
        <v>5</v>
      </c>
      <c r="C31" s="40">
        <v>5</v>
      </c>
      <c r="D31" s="40">
        <v>5</v>
      </c>
      <c r="E31" s="40">
        <v>5</v>
      </c>
      <c r="F31" s="41">
        <v>5</v>
      </c>
      <c r="G31" s="33">
        <v>4</v>
      </c>
      <c r="H31" s="34">
        <v>5</v>
      </c>
      <c r="I31" s="34">
        <v>5</v>
      </c>
      <c r="J31" s="34">
        <v>4</v>
      </c>
      <c r="K31" s="34">
        <v>5</v>
      </c>
      <c r="L31" s="35">
        <v>5</v>
      </c>
      <c r="M31" s="42">
        <v>3</v>
      </c>
      <c r="N31" s="43">
        <v>5</v>
      </c>
      <c r="O31" s="43">
        <v>5</v>
      </c>
      <c r="P31" s="43">
        <v>5</v>
      </c>
      <c r="Q31" s="43">
        <v>5</v>
      </c>
      <c r="R31" s="44">
        <v>5</v>
      </c>
      <c r="S31" s="38">
        <f>AVERAGE(B31:R31)</f>
        <v>4.7647058823529411</v>
      </c>
      <c r="T31" s="38">
        <f t="shared" si="0"/>
        <v>81</v>
      </c>
      <c r="U31" s="29">
        <v>6</v>
      </c>
      <c r="V31" s="57">
        <v>3</v>
      </c>
      <c r="W31" s="57">
        <v>1</v>
      </c>
      <c r="X31" s="57">
        <v>2</v>
      </c>
    </row>
    <row r="32" spans="1:24" ht="14.25" customHeight="1" x14ac:dyDescent="0.25">
      <c r="A32">
        <v>494162</v>
      </c>
      <c r="B32" s="33">
        <v>5</v>
      </c>
      <c r="C32" s="34">
        <v>5</v>
      </c>
      <c r="D32" s="34">
        <v>5</v>
      </c>
      <c r="E32" s="34">
        <v>5</v>
      </c>
      <c r="F32" s="35">
        <v>5</v>
      </c>
      <c r="G32" s="33">
        <v>5</v>
      </c>
      <c r="H32" s="34">
        <v>5</v>
      </c>
      <c r="I32" s="34">
        <v>5</v>
      </c>
      <c r="J32" s="34">
        <v>5</v>
      </c>
      <c r="K32" s="34">
        <v>5</v>
      </c>
      <c r="L32" s="35">
        <v>5</v>
      </c>
      <c r="M32" s="36">
        <v>5</v>
      </c>
      <c r="N32" s="37">
        <v>5</v>
      </c>
      <c r="O32" s="37">
        <v>5</v>
      </c>
      <c r="P32" s="37">
        <v>5</v>
      </c>
      <c r="Q32" s="37">
        <v>5</v>
      </c>
      <c r="R32" s="38">
        <v>5</v>
      </c>
      <c r="S32" s="38">
        <f>AVERAGE(B32:R32)</f>
        <v>5</v>
      </c>
      <c r="T32" s="38">
        <f t="shared" si="0"/>
        <v>85</v>
      </c>
      <c r="U32" s="29">
        <v>1</v>
      </c>
      <c r="V32" s="57">
        <v>1</v>
      </c>
      <c r="W32" s="57">
        <v>3</v>
      </c>
      <c r="X32" s="57">
        <v>2</v>
      </c>
    </row>
    <row r="33" spans="1:24" ht="14.25" customHeight="1" x14ac:dyDescent="0.25">
      <c r="A33">
        <v>313703</v>
      </c>
      <c r="B33" s="39">
        <v>5</v>
      </c>
      <c r="C33" s="40">
        <v>5</v>
      </c>
      <c r="D33" s="40">
        <v>5</v>
      </c>
      <c r="E33" s="40">
        <v>5</v>
      </c>
      <c r="F33" s="41">
        <v>5</v>
      </c>
      <c r="G33" s="33">
        <v>5</v>
      </c>
      <c r="H33" s="34">
        <v>5</v>
      </c>
      <c r="I33" s="34">
        <v>5</v>
      </c>
      <c r="J33" s="34">
        <v>5</v>
      </c>
      <c r="K33" s="34">
        <v>5</v>
      </c>
      <c r="L33" s="35">
        <v>5</v>
      </c>
      <c r="M33" s="42">
        <v>5</v>
      </c>
      <c r="N33" s="43">
        <v>5</v>
      </c>
      <c r="O33" s="43">
        <v>5</v>
      </c>
      <c r="P33" s="43">
        <v>5</v>
      </c>
      <c r="Q33" s="43">
        <v>5</v>
      </c>
      <c r="R33" s="44">
        <v>5</v>
      </c>
      <c r="S33" s="38">
        <f>AVERAGE(B33:R33)</f>
        <v>5</v>
      </c>
      <c r="T33" s="38">
        <f t="shared" si="0"/>
        <v>85</v>
      </c>
      <c r="U33" s="29">
        <v>1</v>
      </c>
      <c r="V33" s="57">
        <v>3</v>
      </c>
      <c r="W33" s="57">
        <v>1</v>
      </c>
      <c r="X33" s="57">
        <v>2</v>
      </c>
    </row>
    <row r="34" spans="1:24" ht="14.25" customHeight="1" x14ac:dyDescent="0.25">
      <c r="A34">
        <v>951986</v>
      </c>
      <c r="B34" s="33">
        <v>5</v>
      </c>
      <c r="C34" s="34">
        <v>4</v>
      </c>
      <c r="D34" s="34">
        <v>4</v>
      </c>
      <c r="E34" s="34">
        <v>4</v>
      </c>
      <c r="F34" s="35">
        <v>5</v>
      </c>
      <c r="G34" s="33">
        <v>3</v>
      </c>
      <c r="H34" s="34">
        <v>4</v>
      </c>
      <c r="I34" s="34">
        <v>4</v>
      </c>
      <c r="J34" s="34">
        <v>3</v>
      </c>
      <c r="K34" s="34">
        <v>4</v>
      </c>
      <c r="L34" s="35">
        <v>4</v>
      </c>
      <c r="M34" s="36">
        <v>3</v>
      </c>
      <c r="N34" s="37">
        <v>4</v>
      </c>
      <c r="O34" s="37">
        <v>4</v>
      </c>
      <c r="P34" s="37">
        <v>4</v>
      </c>
      <c r="Q34" s="37">
        <v>4</v>
      </c>
      <c r="R34" s="38">
        <v>4</v>
      </c>
      <c r="S34" s="38">
        <f>AVERAGE(B34:R34)</f>
        <v>3.9411764705882355</v>
      </c>
      <c r="T34" s="38">
        <f t="shared" si="0"/>
        <v>67</v>
      </c>
      <c r="U34" s="29">
        <v>19</v>
      </c>
      <c r="V34" s="57">
        <v>1</v>
      </c>
      <c r="W34" s="57">
        <v>3</v>
      </c>
      <c r="X34" s="57">
        <v>2</v>
      </c>
    </row>
    <row r="35" spans="1:24" ht="14.25" customHeight="1" x14ac:dyDescent="0.25">
      <c r="A35">
        <v>226735</v>
      </c>
      <c r="B35" s="39">
        <v>5</v>
      </c>
      <c r="C35" s="40">
        <v>4</v>
      </c>
      <c r="D35" s="40">
        <v>5</v>
      </c>
      <c r="E35" s="40">
        <v>5</v>
      </c>
      <c r="F35" s="41">
        <v>5</v>
      </c>
      <c r="G35" s="33">
        <v>5</v>
      </c>
      <c r="H35" s="34">
        <v>5</v>
      </c>
      <c r="I35" s="34">
        <v>5</v>
      </c>
      <c r="J35" s="34">
        <v>4</v>
      </c>
      <c r="K35" s="34">
        <v>5</v>
      </c>
      <c r="L35" s="35">
        <v>5</v>
      </c>
      <c r="M35" s="42">
        <v>4</v>
      </c>
      <c r="N35" s="43">
        <v>5</v>
      </c>
      <c r="O35" s="43">
        <v>4</v>
      </c>
      <c r="P35" s="43">
        <v>5</v>
      </c>
      <c r="Q35" s="43">
        <v>5</v>
      </c>
      <c r="R35" s="44">
        <v>4</v>
      </c>
      <c r="S35" s="38">
        <f>AVERAGE(B35:R35)</f>
        <v>4.7058823529411766</v>
      </c>
      <c r="T35" s="38">
        <f t="shared" si="0"/>
        <v>80</v>
      </c>
      <c r="U35" s="29">
        <v>7</v>
      </c>
      <c r="V35" s="57">
        <v>2</v>
      </c>
      <c r="W35" s="57">
        <v>3</v>
      </c>
      <c r="X35" s="57">
        <v>1</v>
      </c>
    </row>
    <row r="36" spans="1:24" ht="14.25" customHeight="1" x14ac:dyDescent="0.25">
      <c r="A36">
        <v>921709</v>
      </c>
      <c r="B36" s="39">
        <v>5</v>
      </c>
      <c r="C36" s="40">
        <v>3</v>
      </c>
      <c r="D36" s="40">
        <v>3</v>
      </c>
      <c r="E36" s="40">
        <v>4</v>
      </c>
      <c r="F36" s="34">
        <v>2</v>
      </c>
      <c r="G36" s="33">
        <v>4</v>
      </c>
      <c r="H36" s="34">
        <v>3</v>
      </c>
      <c r="I36" s="34">
        <v>5</v>
      </c>
      <c r="J36" s="34">
        <v>5</v>
      </c>
      <c r="K36" s="34">
        <v>5</v>
      </c>
      <c r="L36" s="35">
        <v>5</v>
      </c>
      <c r="M36" s="42">
        <v>4</v>
      </c>
      <c r="N36" s="43">
        <v>5</v>
      </c>
      <c r="O36" s="43">
        <v>5</v>
      </c>
      <c r="P36" s="43">
        <v>4</v>
      </c>
      <c r="Q36" s="43">
        <v>4</v>
      </c>
      <c r="R36" s="44">
        <v>5</v>
      </c>
      <c r="S36" s="38">
        <f>AVERAGE(B36:R36)</f>
        <v>4.1764705882352944</v>
      </c>
      <c r="T36" s="38">
        <f t="shared" si="0"/>
        <v>71</v>
      </c>
      <c r="U36" s="29">
        <v>13</v>
      </c>
      <c r="V36" s="57">
        <v>0</v>
      </c>
      <c r="W36" s="57">
        <v>0</v>
      </c>
      <c r="X36" s="57">
        <v>0</v>
      </c>
    </row>
    <row r="37" spans="1:24" ht="14.25" customHeight="1" x14ac:dyDescent="0.25">
      <c r="A37">
        <v>746559</v>
      </c>
      <c r="B37" s="39">
        <v>5</v>
      </c>
      <c r="C37" s="40">
        <v>5</v>
      </c>
      <c r="D37" s="40">
        <v>5</v>
      </c>
      <c r="E37" s="40">
        <v>5</v>
      </c>
      <c r="F37" s="41">
        <v>5</v>
      </c>
      <c r="G37" s="33">
        <v>4</v>
      </c>
      <c r="H37" s="34">
        <v>5</v>
      </c>
      <c r="I37" s="34">
        <v>5</v>
      </c>
      <c r="J37" s="34">
        <v>5</v>
      </c>
      <c r="K37" s="34">
        <v>5</v>
      </c>
      <c r="L37" s="35">
        <v>5</v>
      </c>
      <c r="M37" s="42">
        <v>4</v>
      </c>
      <c r="N37" s="43">
        <v>5</v>
      </c>
      <c r="O37" s="43">
        <v>4</v>
      </c>
      <c r="P37" s="43">
        <v>5</v>
      </c>
      <c r="Q37" s="43">
        <v>5</v>
      </c>
      <c r="R37" s="44">
        <v>4</v>
      </c>
      <c r="S37" s="38">
        <f>AVERAGE(B37:R37)</f>
        <v>4.7647058823529411</v>
      </c>
      <c r="T37" s="38">
        <f t="shared" si="0"/>
        <v>81</v>
      </c>
      <c r="U37" s="29">
        <v>5</v>
      </c>
      <c r="V37" s="57">
        <v>3</v>
      </c>
      <c r="W37" s="57">
        <v>1</v>
      </c>
      <c r="X37" s="57">
        <v>2</v>
      </c>
    </row>
    <row r="38" spans="1:24" ht="14.25" customHeight="1" x14ac:dyDescent="0.25">
      <c r="A38">
        <v>527662</v>
      </c>
      <c r="B38" s="33">
        <v>5</v>
      </c>
      <c r="C38" s="34">
        <v>5</v>
      </c>
      <c r="D38" s="34">
        <v>5</v>
      </c>
      <c r="E38" s="34">
        <v>5</v>
      </c>
      <c r="F38" s="35">
        <v>5</v>
      </c>
      <c r="G38" s="33">
        <v>5</v>
      </c>
      <c r="H38" s="34">
        <v>4</v>
      </c>
      <c r="I38" s="34">
        <v>5</v>
      </c>
      <c r="J38" s="34">
        <v>4</v>
      </c>
      <c r="K38" s="34">
        <v>5</v>
      </c>
      <c r="L38" s="35">
        <v>5</v>
      </c>
      <c r="M38" s="36">
        <v>3</v>
      </c>
      <c r="N38" s="37">
        <v>5</v>
      </c>
      <c r="O38" s="37">
        <v>4</v>
      </c>
      <c r="P38" s="37">
        <v>5</v>
      </c>
      <c r="Q38" s="37">
        <v>4</v>
      </c>
      <c r="R38" s="38">
        <v>4</v>
      </c>
      <c r="S38" s="38">
        <f>AVERAGE(B38:R38)</f>
        <v>4.5882352941176467</v>
      </c>
      <c r="T38" s="38">
        <f t="shared" si="0"/>
        <v>78</v>
      </c>
      <c r="U38" s="29">
        <v>9</v>
      </c>
      <c r="V38" s="57">
        <v>2</v>
      </c>
      <c r="W38" s="57">
        <v>1</v>
      </c>
      <c r="X38" s="57">
        <v>3</v>
      </c>
    </row>
    <row r="39" spans="1:24" ht="14.25" customHeight="1" x14ac:dyDescent="0.25">
      <c r="A39">
        <v>979609</v>
      </c>
      <c r="B39" s="39">
        <v>5</v>
      </c>
      <c r="C39" s="40">
        <v>5</v>
      </c>
      <c r="D39" s="40">
        <v>5</v>
      </c>
      <c r="E39" s="40">
        <v>5</v>
      </c>
      <c r="F39" s="41">
        <v>5</v>
      </c>
      <c r="G39" s="33">
        <v>5</v>
      </c>
      <c r="H39" s="34">
        <v>5</v>
      </c>
      <c r="I39" s="34">
        <v>5</v>
      </c>
      <c r="J39" s="34">
        <v>5</v>
      </c>
      <c r="K39" s="34">
        <v>5</v>
      </c>
      <c r="L39" s="35">
        <v>5</v>
      </c>
      <c r="M39" s="42">
        <v>5</v>
      </c>
      <c r="N39" s="43">
        <v>5</v>
      </c>
      <c r="O39" s="43">
        <v>5</v>
      </c>
      <c r="P39" s="43">
        <v>5</v>
      </c>
      <c r="Q39" s="43">
        <v>5</v>
      </c>
      <c r="R39" s="44">
        <v>5</v>
      </c>
      <c r="S39" s="38">
        <f>AVERAGE(B39:R39)</f>
        <v>5</v>
      </c>
      <c r="T39" s="38">
        <f t="shared" si="0"/>
        <v>85</v>
      </c>
      <c r="U39" s="29">
        <v>1</v>
      </c>
      <c r="V39" s="57">
        <v>3</v>
      </c>
      <c r="W39" s="57">
        <v>2</v>
      </c>
      <c r="X39" s="57">
        <v>1</v>
      </c>
    </row>
    <row r="40" spans="1:24" ht="14.25" customHeight="1" x14ac:dyDescent="0.25">
      <c r="A40">
        <v>586604</v>
      </c>
      <c r="B40" s="33">
        <v>5</v>
      </c>
      <c r="C40" s="34">
        <v>5</v>
      </c>
      <c r="D40" s="34">
        <v>5</v>
      </c>
      <c r="E40" s="34">
        <v>5</v>
      </c>
      <c r="F40" s="35">
        <v>5</v>
      </c>
      <c r="G40" s="33">
        <v>5</v>
      </c>
      <c r="H40" s="34">
        <v>5</v>
      </c>
      <c r="I40" s="34">
        <v>5</v>
      </c>
      <c r="J40" s="34">
        <v>4</v>
      </c>
      <c r="K40" s="34">
        <v>5</v>
      </c>
      <c r="L40" s="35">
        <v>4</v>
      </c>
      <c r="M40" s="36">
        <v>5</v>
      </c>
      <c r="N40" s="37">
        <v>5</v>
      </c>
      <c r="O40" s="37">
        <v>4</v>
      </c>
      <c r="P40" s="37">
        <v>5</v>
      </c>
      <c r="Q40" s="37">
        <v>5</v>
      </c>
      <c r="R40" s="38">
        <v>4</v>
      </c>
      <c r="S40" s="38">
        <f>AVERAGE(B40:R40)</f>
        <v>4.7647058823529411</v>
      </c>
      <c r="T40" s="38">
        <f t="shared" si="0"/>
        <v>81</v>
      </c>
      <c r="U40" s="29">
        <v>6</v>
      </c>
      <c r="V40" s="57">
        <v>3</v>
      </c>
      <c r="W40" s="57">
        <v>2</v>
      </c>
      <c r="X40" s="57">
        <v>1</v>
      </c>
    </row>
    <row r="41" spans="1:24" ht="14.25" customHeight="1" x14ac:dyDescent="0.25">
      <c r="A41">
        <v>249335</v>
      </c>
      <c r="B41" s="33">
        <v>5</v>
      </c>
      <c r="C41" s="34">
        <v>4</v>
      </c>
      <c r="D41" s="34">
        <v>3</v>
      </c>
      <c r="E41" s="34">
        <v>5</v>
      </c>
      <c r="F41" s="35">
        <v>5</v>
      </c>
      <c r="G41" s="33">
        <v>5</v>
      </c>
      <c r="H41" s="34">
        <v>4</v>
      </c>
      <c r="I41" s="34">
        <v>5</v>
      </c>
      <c r="J41" s="34">
        <v>4</v>
      </c>
      <c r="K41" s="34">
        <v>5</v>
      </c>
      <c r="L41" s="35">
        <v>5</v>
      </c>
      <c r="M41" s="36">
        <v>4</v>
      </c>
      <c r="N41" s="37">
        <v>3</v>
      </c>
      <c r="O41" s="37">
        <v>4</v>
      </c>
      <c r="P41" s="37">
        <v>5</v>
      </c>
      <c r="Q41" s="37">
        <v>5</v>
      </c>
      <c r="R41" s="38">
        <v>4</v>
      </c>
      <c r="S41" s="38">
        <f>AVERAGE(B41:R41)</f>
        <v>4.4117647058823533</v>
      </c>
      <c r="T41" s="38">
        <f t="shared" si="0"/>
        <v>75</v>
      </c>
      <c r="U41" s="29">
        <v>11</v>
      </c>
      <c r="V41" s="57">
        <v>3</v>
      </c>
      <c r="W41" s="57">
        <v>2</v>
      </c>
      <c r="X41" s="57">
        <v>1</v>
      </c>
    </row>
    <row r="42" spans="1:24" ht="14.25" customHeight="1" x14ac:dyDescent="0.25">
      <c r="A42">
        <v>303636</v>
      </c>
      <c r="B42" s="39">
        <v>5</v>
      </c>
      <c r="C42" s="40">
        <v>5</v>
      </c>
      <c r="D42" s="40">
        <v>5</v>
      </c>
      <c r="E42" s="40">
        <v>5</v>
      </c>
      <c r="F42" s="41">
        <v>5</v>
      </c>
      <c r="G42" s="33">
        <v>5</v>
      </c>
      <c r="H42" s="34">
        <v>5</v>
      </c>
      <c r="I42" s="34">
        <v>5</v>
      </c>
      <c r="J42" s="34">
        <v>4</v>
      </c>
      <c r="K42" s="34">
        <v>5</v>
      </c>
      <c r="L42" s="35">
        <v>5</v>
      </c>
      <c r="M42" s="42">
        <v>5</v>
      </c>
      <c r="N42" s="43">
        <v>5</v>
      </c>
      <c r="O42" s="43">
        <v>4</v>
      </c>
      <c r="P42" s="43">
        <v>5</v>
      </c>
      <c r="Q42" s="43">
        <v>5</v>
      </c>
      <c r="R42" s="44">
        <v>5</v>
      </c>
      <c r="S42" s="38">
        <f>AVERAGE(B42:R42)</f>
        <v>4.882352941176471</v>
      </c>
      <c r="T42" s="38">
        <f t="shared" si="0"/>
        <v>83</v>
      </c>
      <c r="U42" s="29">
        <v>3</v>
      </c>
      <c r="V42" s="57">
        <v>1</v>
      </c>
      <c r="W42" s="57">
        <v>3</v>
      </c>
      <c r="X42" s="57">
        <v>2</v>
      </c>
    </row>
    <row r="43" spans="1:24" ht="14.25" customHeight="1" x14ac:dyDescent="0.25">
      <c r="A43">
        <v>754466</v>
      </c>
      <c r="B43" s="39">
        <v>5</v>
      </c>
      <c r="C43" s="40">
        <v>5</v>
      </c>
      <c r="D43" s="34">
        <v>2</v>
      </c>
      <c r="E43" s="40">
        <v>4</v>
      </c>
      <c r="F43" s="41">
        <v>5</v>
      </c>
      <c r="G43" s="33">
        <v>5</v>
      </c>
      <c r="H43" s="34">
        <v>3</v>
      </c>
      <c r="I43" s="34">
        <v>3</v>
      </c>
      <c r="J43" s="34">
        <v>5</v>
      </c>
      <c r="K43" s="34">
        <v>5</v>
      </c>
      <c r="L43" s="35">
        <v>5</v>
      </c>
      <c r="M43" s="42">
        <v>4</v>
      </c>
      <c r="N43" s="43">
        <v>3</v>
      </c>
      <c r="O43" s="43">
        <v>4</v>
      </c>
      <c r="P43" s="43">
        <v>3</v>
      </c>
      <c r="Q43" s="43">
        <v>4</v>
      </c>
      <c r="R43" s="44">
        <v>3</v>
      </c>
      <c r="S43" s="38">
        <f>AVERAGE(B43:R43)</f>
        <v>4</v>
      </c>
      <c r="T43" s="38">
        <f t="shared" si="0"/>
        <v>68</v>
      </c>
      <c r="U43" s="29">
        <v>17</v>
      </c>
      <c r="V43" s="57">
        <v>0</v>
      </c>
      <c r="W43" s="57">
        <v>0</v>
      </c>
      <c r="X43" s="57">
        <v>0</v>
      </c>
    </row>
    <row r="44" spans="1:24" ht="14.25" customHeight="1" x14ac:dyDescent="0.25">
      <c r="A44">
        <v>381726</v>
      </c>
      <c r="B44" s="54">
        <v>5</v>
      </c>
      <c r="C44" s="55">
        <v>5</v>
      </c>
      <c r="D44" s="55">
        <v>4</v>
      </c>
      <c r="E44" s="55">
        <v>5</v>
      </c>
      <c r="F44" s="56">
        <v>5</v>
      </c>
      <c r="G44" s="54">
        <v>5</v>
      </c>
      <c r="H44" s="55">
        <v>3</v>
      </c>
      <c r="I44" s="55">
        <v>5</v>
      </c>
      <c r="J44" s="55">
        <v>5</v>
      </c>
      <c r="K44" s="55">
        <v>5</v>
      </c>
      <c r="L44" s="56">
        <v>4</v>
      </c>
      <c r="M44" s="36">
        <v>4</v>
      </c>
      <c r="N44" s="37">
        <v>5</v>
      </c>
      <c r="O44" s="37">
        <v>4</v>
      </c>
      <c r="P44" s="37">
        <v>5</v>
      </c>
      <c r="Q44" s="37">
        <v>5</v>
      </c>
      <c r="R44" s="38">
        <v>4</v>
      </c>
      <c r="S44" s="38">
        <f>AVERAGE(B44:R44)</f>
        <v>4.5882352941176467</v>
      </c>
      <c r="T44" s="38">
        <f t="shared" si="0"/>
        <v>78</v>
      </c>
      <c r="U44" s="29">
        <v>9</v>
      </c>
      <c r="V44" s="57">
        <v>2</v>
      </c>
      <c r="W44" s="57">
        <v>1</v>
      </c>
      <c r="X44" s="57">
        <v>3</v>
      </c>
    </row>
    <row r="45" spans="1:24" ht="14.25" customHeight="1" thickBot="1" x14ac:dyDescent="0.3">
      <c r="A45">
        <v>523389</v>
      </c>
      <c r="B45" s="45">
        <v>5</v>
      </c>
      <c r="C45" s="46">
        <v>4</v>
      </c>
      <c r="D45" s="46">
        <v>5</v>
      </c>
      <c r="E45" s="46">
        <v>4</v>
      </c>
      <c r="F45" s="47">
        <v>5</v>
      </c>
      <c r="G45" s="48">
        <v>4</v>
      </c>
      <c r="H45" s="49">
        <v>3</v>
      </c>
      <c r="I45" s="49">
        <v>5</v>
      </c>
      <c r="J45" s="49">
        <v>3</v>
      </c>
      <c r="K45" s="49">
        <v>4</v>
      </c>
      <c r="L45" s="50">
        <v>4</v>
      </c>
      <c r="M45" s="51">
        <v>4</v>
      </c>
      <c r="N45" s="52">
        <v>4</v>
      </c>
      <c r="O45" s="52">
        <v>4</v>
      </c>
      <c r="P45" s="52">
        <v>4</v>
      </c>
      <c r="Q45" s="52">
        <v>4</v>
      </c>
      <c r="R45" s="53">
        <v>3</v>
      </c>
      <c r="S45" s="38">
        <f>AVERAGE(B45:R45)</f>
        <v>4.0588235294117645</v>
      </c>
      <c r="T45" s="38">
        <f t="shared" si="0"/>
        <v>69</v>
      </c>
      <c r="U45" s="29">
        <v>18</v>
      </c>
      <c r="V45" s="57">
        <v>3</v>
      </c>
      <c r="W45" s="57">
        <v>2</v>
      </c>
      <c r="X45" s="57">
        <v>1</v>
      </c>
    </row>
    <row r="46" spans="1:24" ht="14.25" customHeight="1" x14ac:dyDescent="0.25">
      <c r="S46" s="60"/>
      <c r="T46" s="2"/>
      <c r="U46" s="29"/>
    </row>
    <row r="47" spans="1:24" ht="14.25" customHeight="1" x14ac:dyDescent="0.25">
      <c r="S47" s="60"/>
      <c r="T47" s="2"/>
      <c r="U47" s="29"/>
    </row>
    <row r="48" spans="1:24" ht="14.25" customHeight="1" x14ac:dyDescent="0.25">
      <c r="S48" s="60"/>
      <c r="T48" s="2"/>
      <c r="U48" s="29"/>
    </row>
    <row r="49" spans="19:21" ht="14.25" customHeight="1" x14ac:dyDescent="0.25">
      <c r="S49" s="60"/>
      <c r="T49" s="2"/>
      <c r="U49" s="29"/>
    </row>
    <row r="50" spans="19:21" ht="14.25" customHeight="1" x14ac:dyDescent="0.25">
      <c r="S50" s="60"/>
      <c r="T50" s="2"/>
      <c r="U50" s="29"/>
    </row>
    <row r="51" spans="19:21" ht="14.25" customHeight="1" x14ac:dyDescent="0.25">
      <c r="S51" s="60"/>
      <c r="T51" s="2"/>
      <c r="U51" s="29"/>
    </row>
    <row r="52" spans="19:21" ht="14.25" customHeight="1" x14ac:dyDescent="0.25">
      <c r="S52" s="60"/>
      <c r="T52" s="2"/>
      <c r="U52" s="29"/>
    </row>
    <row r="53" spans="19:21" ht="14.25" customHeight="1" x14ac:dyDescent="0.25">
      <c r="S53" s="60"/>
      <c r="T53" s="2"/>
      <c r="U53" s="29"/>
    </row>
    <row r="54" spans="19:21" ht="14.25" customHeight="1" x14ac:dyDescent="0.25">
      <c r="S54" s="60"/>
      <c r="T54" s="2"/>
      <c r="U54" s="29"/>
    </row>
    <row r="55" spans="19:21" ht="14.25" customHeight="1" x14ac:dyDescent="0.25">
      <c r="S55" s="60"/>
      <c r="T55" s="2"/>
      <c r="U55" s="29"/>
    </row>
    <row r="56" spans="19:21" ht="14.25" customHeight="1" x14ac:dyDescent="0.25">
      <c r="S56" s="60"/>
      <c r="T56" s="2"/>
      <c r="U56" s="29"/>
    </row>
    <row r="57" spans="19:21" ht="14.25" customHeight="1" x14ac:dyDescent="0.25">
      <c r="S57" s="60"/>
      <c r="T57" s="2"/>
      <c r="U57" s="29"/>
    </row>
    <row r="58" spans="19:21" ht="14.25" customHeight="1" x14ac:dyDescent="0.25">
      <c r="S58" s="60"/>
      <c r="T58" s="2"/>
      <c r="U58" s="29"/>
    </row>
    <row r="59" spans="19:21" ht="14.25" customHeight="1" x14ac:dyDescent="0.25">
      <c r="S59" s="60"/>
      <c r="T59" s="2"/>
      <c r="U59" s="29"/>
    </row>
    <row r="60" spans="19:21" ht="14.25" customHeight="1" x14ac:dyDescent="0.25">
      <c r="S60" s="60"/>
      <c r="T60" s="2"/>
      <c r="U60" s="29"/>
    </row>
    <row r="61" spans="19:21" ht="14.25" customHeight="1" x14ac:dyDescent="0.25">
      <c r="S61" s="60"/>
      <c r="T61" s="2"/>
      <c r="U61" s="29"/>
    </row>
    <row r="62" spans="19:21" ht="14.25" customHeight="1" x14ac:dyDescent="0.25">
      <c r="S62" s="60"/>
      <c r="T62" s="2"/>
      <c r="U62" s="29"/>
    </row>
    <row r="63" spans="19:21" ht="14.25" customHeight="1" x14ac:dyDescent="0.25">
      <c r="S63" s="60"/>
      <c r="T63" s="2"/>
      <c r="U63" s="29"/>
    </row>
    <row r="64" spans="19:21" ht="14.25" customHeight="1" x14ac:dyDescent="0.25">
      <c r="S64" s="60"/>
      <c r="T64" s="2"/>
      <c r="U64" s="29"/>
    </row>
    <row r="65" spans="19:21" ht="14.25" customHeight="1" x14ac:dyDescent="0.25">
      <c r="S65" s="60"/>
      <c r="T65" s="2"/>
      <c r="U65" s="29"/>
    </row>
    <row r="66" spans="19:21" ht="14.25" customHeight="1" x14ac:dyDescent="0.25">
      <c r="S66" s="60"/>
      <c r="T66" s="2"/>
      <c r="U66" s="29"/>
    </row>
    <row r="67" spans="19:21" ht="14.25" customHeight="1" x14ac:dyDescent="0.25">
      <c r="S67" s="60"/>
      <c r="T67" s="2"/>
      <c r="U67" s="29"/>
    </row>
    <row r="68" spans="19:21" ht="14.25" customHeight="1" x14ac:dyDescent="0.25">
      <c r="S68" s="60"/>
      <c r="T68" s="2"/>
      <c r="U68" s="29"/>
    </row>
    <row r="69" spans="19:21" ht="14.25" customHeight="1" x14ac:dyDescent="0.25">
      <c r="S69" s="60"/>
      <c r="T69" s="2"/>
      <c r="U69" s="29"/>
    </row>
    <row r="70" spans="19:21" ht="14.25" customHeight="1" x14ac:dyDescent="0.25">
      <c r="S70" s="60"/>
      <c r="T70" s="2"/>
      <c r="U70" s="29"/>
    </row>
    <row r="71" spans="19:21" ht="14.25" customHeight="1" x14ac:dyDescent="0.25">
      <c r="S71" s="60"/>
      <c r="T71" s="2"/>
      <c r="U71" s="29"/>
    </row>
    <row r="72" spans="19:21" ht="14.25" customHeight="1" x14ac:dyDescent="0.25">
      <c r="S72" s="60"/>
      <c r="T72" s="2"/>
      <c r="U72" s="29"/>
    </row>
    <row r="73" spans="19:21" ht="14.25" customHeight="1" x14ac:dyDescent="0.25">
      <c r="S73" s="60"/>
      <c r="T73" s="2"/>
      <c r="U73" s="29"/>
    </row>
    <row r="74" spans="19:21" ht="14.25" customHeight="1" x14ac:dyDescent="0.25">
      <c r="S74" s="60"/>
      <c r="T74" s="2"/>
      <c r="U74" s="29"/>
    </row>
    <row r="75" spans="19:21" ht="14.25" customHeight="1" x14ac:dyDescent="0.25">
      <c r="S75" s="60"/>
      <c r="T75" s="2"/>
      <c r="U75" s="29"/>
    </row>
    <row r="76" spans="19:21" ht="14.25" customHeight="1" x14ac:dyDescent="0.25">
      <c r="S76" s="60"/>
      <c r="T76" s="2"/>
      <c r="U76" s="29"/>
    </row>
    <row r="77" spans="19:21" ht="14.25" customHeight="1" x14ac:dyDescent="0.25">
      <c r="S77" s="60"/>
      <c r="T77" s="2"/>
      <c r="U77" s="29"/>
    </row>
    <row r="78" spans="19:21" ht="14.25" customHeight="1" x14ac:dyDescent="0.25">
      <c r="S78" s="60"/>
      <c r="T78" s="2"/>
      <c r="U78" s="29"/>
    </row>
    <row r="79" spans="19:21" ht="14.25" customHeight="1" x14ac:dyDescent="0.25">
      <c r="S79" s="60"/>
      <c r="T79" s="2"/>
      <c r="U79" s="29"/>
    </row>
    <row r="80" spans="19:21" ht="14.25" customHeight="1" x14ac:dyDescent="0.25">
      <c r="S80" s="60"/>
      <c r="T80" s="2"/>
      <c r="U80" s="29"/>
    </row>
    <row r="81" spans="19:21" ht="14.25" customHeight="1" x14ac:dyDescent="0.25">
      <c r="S81" s="60"/>
      <c r="T81" s="2"/>
      <c r="U81" s="29"/>
    </row>
    <row r="82" spans="19:21" ht="14.25" customHeight="1" x14ac:dyDescent="0.25">
      <c r="S82" s="60"/>
      <c r="T82" s="2"/>
      <c r="U82" s="29"/>
    </row>
    <row r="83" spans="19:21" ht="14.25" customHeight="1" x14ac:dyDescent="0.25">
      <c r="S83" s="60"/>
      <c r="T83" s="2"/>
      <c r="U83" s="29"/>
    </row>
    <row r="84" spans="19:21" ht="14.25" customHeight="1" x14ac:dyDescent="0.25">
      <c r="S84" s="60"/>
      <c r="T84" s="2"/>
      <c r="U84" s="29"/>
    </row>
    <row r="85" spans="19:21" ht="14.25" customHeight="1" x14ac:dyDescent="0.25">
      <c r="S85" s="60"/>
      <c r="T85" s="2"/>
      <c r="U85" s="29"/>
    </row>
    <row r="86" spans="19:21" ht="14.25" customHeight="1" x14ac:dyDescent="0.25">
      <c r="S86" s="60"/>
      <c r="T86" s="2"/>
      <c r="U86" s="29"/>
    </row>
    <row r="87" spans="19:21" ht="14.25" customHeight="1" x14ac:dyDescent="0.25">
      <c r="S87" s="60"/>
      <c r="T87" s="2"/>
      <c r="U87" s="29"/>
    </row>
    <row r="88" spans="19:21" ht="14.25" customHeight="1" x14ac:dyDescent="0.25">
      <c r="S88" s="60"/>
      <c r="T88" s="2"/>
      <c r="U88" s="29"/>
    </row>
    <row r="89" spans="19:21" ht="14.25" customHeight="1" x14ac:dyDescent="0.25">
      <c r="S89" s="60"/>
      <c r="T89" s="2"/>
      <c r="U89" s="29"/>
    </row>
    <row r="90" spans="19:21" ht="14.25" customHeight="1" x14ac:dyDescent="0.25">
      <c r="S90" s="60"/>
      <c r="T90" s="2"/>
      <c r="U90" s="29"/>
    </row>
    <row r="91" spans="19:21" ht="14.25" customHeight="1" x14ac:dyDescent="0.25">
      <c r="S91" s="60"/>
      <c r="T91" s="2"/>
      <c r="U91" s="29"/>
    </row>
    <row r="92" spans="19:21" ht="14.25" customHeight="1" x14ac:dyDescent="0.25">
      <c r="S92" s="60"/>
      <c r="T92" s="2"/>
      <c r="U92" s="29"/>
    </row>
    <row r="93" spans="19:21" ht="14.25" customHeight="1" x14ac:dyDescent="0.25">
      <c r="S93" s="60"/>
      <c r="T93" s="2"/>
      <c r="U93" s="29"/>
    </row>
    <row r="94" spans="19:21" ht="14.25" customHeight="1" x14ac:dyDescent="0.25">
      <c r="S94" s="60"/>
      <c r="T94" s="2"/>
      <c r="U94" s="29"/>
    </row>
    <row r="95" spans="19:21" ht="14.25" customHeight="1" x14ac:dyDescent="0.25">
      <c r="S95" s="60"/>
      <c r="T95" s="2"/>
      <c r="U95" s="29"/>
    </row>
    <row r="96" spans="19:21" ht="14.25" customHeight="1" x14ac:dyDescent="0.25">
      <c r="S96" s="60"/>
      <c r="T96" s="2"/>
      <c r="U96" s="29"/>
    </row>
    <row r="97" spans="19:21" ht="14.25" customHeight="1" x14ac:dyDescent="0.25">
      <c r="S97" s="60"/>
      <c r="T97" s="2"/>
      <c r="U97" s="29"/>
    </row>
    <row r="98" spans="19:21" ht="14.25" customHeight="1" x14ac:dyDescent="0.25">
      <c r="S98" s="60"/>
      <c r="T98" s="2"/>
      <c r="U98" s="29"/>
    </row>
    <row r="99" spans="19:21" ht="14.25" customHeight="1" x14ac:dyDescent="0.25">
      <c r="S99" s="60"/>
      <c r="T99" s="2"/>
      <c r="U99" s="29"/>
    </row>
    <row r="100" spans="19:21" ht="14.25" customHeight="1" x14ac:dyDescent="0.25">
      <c r="S100" s="60"/>
      <c r="T100" s="2"/>
      <c r="U100" s="29"/>
    </row>
    <row r="101" spans="19:21" ht="14.25" customHeight="1" x14ac:dyDescent="0.25">
      <c r="S101" s="60"/>
      <c r="T101" s="2"/>
      <c r="U101" s="29"/>
    </row>
    <row r="102" spans="19:21" ht="14.25" customHeight="1" x14ac:dyDescent="0.25">
      <c r="S102" s="60"/>
      <c r="T102" s="2"/>
      <c r="U102" s="29"/>
    </row>
    <row r="103" spans="19:21" ht="14.25" customHeight="1" x14ac:dyDescent="0.25">
      <c r="S103" s="60"/>
      <c r="T103" s="2"/>
      <c r="U103" s="29"/>
    </row>
    <row r="104" spans="19:21" ht="14.25" customHeight="1" x14ac:dyDescent="0.25">
      <c r="S104" s="60"/>
      <c r="T104" s="2"/>
      <c r="U104" s="29"/>
    </row>
    <row r="105" spans="19:21" ht="14.25" customHeight="1" x14ac:dyDescent="0.25">
      <c r="S105" s="60"/>
      <c r="T105" s="2"/>
      <c r="U105" s="29"/>
    </row>
    <row r="106" spans="19:21" ht="14.25" customHeight="1" x14ac:dyDescent="0.25">
      <c r="S106" s="60"/>
      <c r="T106" s="2"/>
      <c r="U106" s="29"/>
    </row>
    <row r="107" spans="19:21" ht="14.25" customHeight="1" x14ac:dyDescent="0.25">
      <c r="S107" s="60"/>
      <c r="T107" s="2"/>
      <c r="U107" s="29"/>
    </row>
    <row r="108" spans="19:21" ht="14.25" customHeight="1" x14ac:dyDescent="0.25">
      <c r="S108" s="60"/>
      <c r="T108" s="2"/>
      <c r="U108" s="29"/>
    </row>
    <row r="109" spans="19:21" ht="14.25" customHeight="1" x14ac:dyDescent="0.25">
      <c r="S109" s="60"/>
      <c r="T109" s="2"/>
      <c r="U109" s="29"/>
    </row>
    <row r="110" spans="19:21" ht="14.25" customHeight="1" x14ac:dyDescent="0.25">
      <c r="S110" s="60"/>
      <c r="T110" s="2"/>
      <c r="U110" s="29"/>
    </row>
    <row r="111" spans="19:21" ht="14.25" customHeight="1" x14ac:dyDescent="0.25">
      <c r="S111" s="60"/>
      <c r="T111" s="2"/>
      <c r="U111" s="29"/>
    </row>
    <row r="112" spans="19:21" ht="14.25" customHeight="1" x14ac:dyDescent="0.25">
      <c r="S112" s="60"/>
      <c r="T112" s="2"/>
      <c r="U112" s="29"/>
    </row>
    <row r="113" spans="19:21" ht="14.25" customHeight="1" x14ac:dyDescent="0.25">
      <c r="S113" s="60"/>
      <c r="T113" s="2"/>
      <c r="U113" s="29"/>
    </row>
    <row r="114" spans="19:21" ht="14.25" customHeight="1" x14ac:dyDescent="0.25">
      <c r="S114" s="60"/>
      <c r="T114" s="2"/>
      <c r="U114" s="29"/>
    </row>
    <row r="115" spans="19:21" ht="14.25" customHeight="1" x14ac:dyDescent="0.25">
      <c r="S115" s="60"/>
      <c r="T115" s="2"/>
      <c r="U115" s="29"/>
    </row>
    <row r="116" spans="19:21" ht="14.25" customHeight="1" x14ac:dyDescent="0.25">
      <c r="S116" s="60"/>
      <c r="T116" s="2"/>
      <c r="U116" s="29"/>
    </row>
    <row r="117" spans="19:21" ht="14.25" customHeight="1" x14ac:dyDescent="0.25">
      <c r="S117" s="60"/>
      <c r="T117" s="2"/>
      <c r="U117" s="29"/>
    </row>
    <row r="118" spans="19:21" ht="14.25" customHeight="1" x14ac:dyDescent="0.25">
      <c r="S118" s="60"/>
      <c r="T118" s="2"/>
      <c r="U118" s="29"/>
    </row>
    <row r="119" spans="19:21" ht="14.25" customHeight="1" x14ac:dyDescent="0.25">
      <c r="S119" s="60"/>
      <c r="T119" s="2"/>
      <c r="U119" s="29"/>
    </row>
    <row r="120" spans="19:21" ht="14.25" customHeight="1" x14ac:dyDescent="0.25">
      <c r="S120" s="60"/>
      <c r="T120" s="2"/>
      <c r="U120" s="29"/>
    </row>
    <row r="121" spans="19:21" ht="14.25" customHeight="1" x14ac:dyDescent="0.25">
      <c r="S121" s="60"/>
      <c r="T121" s="2"/>
      <c r="U121" s="29"/>
    </row>
    <row r="122" spans="19:21" ht="14.25" customHeight="1" x14ac:dyDescent="0.25">
      <c r="S122" s="60"/>
      <c r="T122" s="2"/>
      <c r="U122" s="29"/>
    </row>
    <row r="123" spans="19:21" ht="14.25" customHeight="1" x14ac:dyDescent="0.25">
      <c r="S123" s="60"/>
      <c r="T123" s="2"/>
      <c r="U123" s="29"/>
    </row>
    <row r="124" spans="19:21" ht="14.25" customHeight="1" x14ac:dyDescent="0.25">
      <c r="S124" s="60"/>
      <c r="T124" s="2"/>
      <c r="U124" s="29"/>
    </row>
    <row r="125" spans="19:21" ht="14.25" customHeight="1" x14ac:dyDescent="0.25">
      <c r="S125" s="60"/>
      <c r="T125" s="2"/>
      <c r="U125" s="29"/>
    </row>
    <row r="126" spans="19:21" ht="14.25" customHeight="1" x14ac:dyDescent="0.25">
      <c r="S126" s="60"/>
      <c r="T126" s="2"/>
      <c r="U126" s="29"/>
    </row>
    <row r="127" spans="19:21" ht="14.25" customHeight="1" x14ac:dyDescent="0.25">
      <c r="S127" s="60"/>
      <c r="T127" s="2"/>
      <c r="U127" s="29"/>
    </row>
    <row r="128" spans="19:21" ht="14.25" customHeight="1" x14ac:dyDescent="0.25">
      <c r="S128" s="60"/>
      <c r="T128" s="2"/>
      <c r="U128" s="29"/>
    </row>
    <row r="129" spans="19:21" ht="14.25" customHeight="1" x14ac:dyDescent="0.25">
      <c r="S129" s="60"/>
      <c r="T129" s="2"/>
      <c r="U129" s="29"/>
    </row>
    <row r="130" spans="19:21" ht="14.25" customHeight="1" x14ac:dyDescent="0.25">
      <c r="S130" s="60"/>
      <c r="T130" s="2"/>
      <c r="U130" s="29"/>
    </row>
    <row r="131" spans="19:21" ht="14.25" customHeight="1" x14ac:dyDescent="0.25">
      <c r="S131" s="60"/>
      <c r="T131" s="2"/>
      <c r="U131" s="29"/>
    </row>
    <row r="132" spans="19:21" ht="14.25" customHeight="1" x14ac:dyDescent="0.25">
      <c r="S132" s="60"/>
      <c r="T132" s="2"/>
      <c r="U132" s="29"/>
    </row>
    <row r="133" spans="19:21" ht="14.25" customHeight="1" x14ac:dyDescent="0.25">
      <c r="S133" s="60"/>
      <c r="T133" s="2"/>
      <c r="U133" s="29"/>
    </row>
    <row r="134" spans="19:21" ht="14.25" customHeight="1" x14ac:dyDescent="0.25">
      <c r="S134" s="60"/>
      <c r="T134" s="2"/>
      <c r="U134" s="29"/>
    </row>
    <row r="135" spans="19:21" ht="14.25" customHeight="1" x14ac:dyDescent="0.25">
      <c r="S135" s="60"/>
      <c r="T135" s="2"/>
      <c r="U135" s="29"/>
    </row>
    <row r="136" spans="19:21" ht="14.25" customHeight="1" x14ac:dyDescent="0.25">
      <c r="S136" s="60"/>
      <c r="T136" s="2"/>
      <c r="U136" s="29"/>
    </row>
    <row r="137" spans="19:21" ht="14.25" customHeight="1" x14ac:dyDescent="0.25">
      <c r="S137" s="60"/>
      <c r="T137" s="2"/>
      <c r="U137" s="29"/>
    </row>
    <row r="138" spans="19:21" ht="14.25" customHeight="1" x14ac:dyDescent="0.25">
      <c r="S138" s="60"/>
      <c r="T138" s="2"/>
      <c r="U138" s="29"/>
    </row>
    <row r="139" spans="19:21" ht="14.25" customHeight="1" x14ac:dyDescent="0.25">
      <c r="S139" s="60"/>
      <c r="T139" s="2"/>
      <c r="U139" s="29"/>
    </row>
    <row r="140" spans="19:21" ht="14.25" customHeight="1" x14ac:dyDescent="0.25">
      <c r="S140" s="60"/>
      <c r="T140" s="2"/>
      <c r="U140" s="29"/>
    </row>
    <row r="141" spans="19:21" ht="14.25" customHeight="1" x14ac:dyDescent="0.25">
      <c r="S141" s="60"/>
      <c r="T141" s="2"/>
      <c r="U141" s="29"/>
    </row>
    <row r="142" spans="19:21" ht="14.25" customHeight="1" x14ac:dyDescent="0.25">
      <c r="S142" s="60"/>
      <c r="T142" s="2"/>
      <c r="U142" s="29"/>
    </row>
    <row r="143" spans="19:21" ht="14.25" customHeight="1" x14ac:dyDescent="0.25">
      <c r="S143" s="60"/>
      <c r="T143" s="2"/>
      <c r="U143" s="29"/>
    </row>
    <row r="144" spans="19:21" ht="14.25" customHeight="1" x14ac:dyDescent="0.25">
      <c r="S144" s="60"/>
      <c r="T144" s="2"/>
      <c r="U144" s="29"/>
    </row>
    <row r="145" spans="19:21" ht="14.25" customHeight="1" x14ac:dyDescent="0.25">
      <c r="S145" s="60"/>
      <c r="T145" s="2"/>
      <c r="U145" s="29"/>
    </row>
    <row r="146" spans="19:21" ht="14.25" customHeight="1" x14ac:dyDescent="0.25">
      <c r="S146" s="60"/>
      <c r="T146" s="2"/>
      <c r="U146" s="29"/>
    </row>
    <row r="147" spans="19:21" ht="14.25" customHeight="1" x14ac:dyDescent="0.25">
      <c r="S147" s="60"/>
      <c r="T147" s="2"/>
      <c r="U147" s="29"/>
    </row>
    <row r="148" spans="19:21" ht="14.25" customHeight="1" x14ac:dyDescent="0.25">
      <c r="S148" s="60"/>
      <c r="T148" s="2"/>
      <c r="U148" s="29"/>
    </row>
    <row r="149" spans="19:21" ht="14.25" customHeight="1" x14ac:dyDescent="0.25">
      <c r="S149" s="60"/>
      <c r="T149" s="2"/>
      <c r="U149" s="29"/>
    </row>
    <row r="150" spans="19:21" ht="14.25" customHeight="1" x14ac:dyDescent="0.25">
      <c r="S150" s="60"/>
      <c r="T150" s="2"/>
      <c r="U150" s="29"/>
    </row>
    <row r="151" spans="19:21" ht="14.25" customHeight="1" x14ac:dyDescent="0.25">
      <c r="S151" s="60"/>
      <c r="T151" s="2"/>
      <c r="U151" s="29"/>
    </row>
    <row r="152" spans="19:21" ht="14.25" customHeight="1" x14ac:dyDescent="0.25">
      <c r="S152" s="60"/>
      <c r="T152" s="2"/>
      <c r="U152" s="29"/>
    </row>
    <row r="153" spans="19:21" ht="14.25" customHeight="1" x14ac:dyDescent="0.25">
      <c r="S153" s="60"/>
      <c r="T153" s="2"/>
      <c r="U153" s="29"/>
    </row>
    <row r="154" spans="19:21" ht="14.25" customHeight="1" x14ac:dyDescent="0.25">
      <c r="S154" s="60"/>
      <c r="T154" s="2"/>
      <c r="U154" s="29"/>
    </row>
    <row r="155" spans="19:21" ht="14.25" customHeight="1" x14ac:dyDescent="0.25">
      <c r="S155" s="60"/>
      <c r="T155" s="2"/>
      <c r="U155" s="29"/>
    </row>
    <row r="156" spans="19:21" ht="14.25" customHeight="1" x14ac:dyDescent="0.25">
      <c r="S156" s="60"/>
      <c r="T156" s="2"/>
      <c r="U156" s="29"/>
    </row>
    <row r="157" spans="19:21" ht="14.25" customHeight="1" x14ac:dyDescent="0.25">
      <c r="S157" s="60"/>
      <c r="T157" s="2"/>
      <c r="U157" s="29"/>
    </row>
    <row r="158" spans="19:21" ht="14.25" customHeight="1" x14ac:dyDescent="0.25">
      <c r="S158" s="60"/>
      <c r="T158" s="2"/>
      <c r="U158" s="29"/>
    </row>
    <row r="159" spans="19:21" ht="14.25" customHeight="1" x14ac:dyDescent="0.25">
      <c r="S159" s="60"/>
      <c r="T159" s="2"/>
      <c r="U159" s="29"/>
    </row>
    <row r="160" spans="19:21" ht="14.25" customHeight="1" x14ac:dyDescent="0.25">
      <c r="S160" s="60"/>
      <c r="T160" s="2"/>
      <c r="U160" s="29"/>
    </row>
    <row r="161" spans="19:21" ht="14.25" customHeight="1" x14ac:dyDescent="0.25">
      <c r="S161" s="60"/>
      <c r="T161" s="2"/>
      <c r="U161" s="29"/>
    </row>
    <row r="162" spans="19:21" ht="14.25" customHeight="1" x14ac:dyDescent="0.25">
      <c r="S162" s="60"/>
      <c r="T162" s="2"/>
      <c r="U162" s="29"/>
    </row>
    <row r="163" spans="19:21" ht="14.25" customHeight="1" x14ac:dyDescent="0.25">
      <c r="S163" s="60"/>
      <c r="T163" s="2"/>
      <c r="U163" s="29"/>
    </row>
    <row r="164" spans="19:21" ht="14.25" customHeight="1" x14ac:dyDescent="0.25">
      <c r="S164" s="60"/>
      <c r="T164" s="2"/>
      <c r="U164" s="29"/>
    </row>
    <row r="165" spans="19:21" ht="14.25" customHeight="1" x14ac:dyDescent="0.25">
      <c r="S165" s="60"/>
      <c r="T165" s="2"/>
      <c r="U165" s="29"/>
    </row>
    <row r="166" spans="19:21" ht="14.25" customHeight="1" x14ac:dyDescent="0.25">
      <c r="S166" s="60"/>
      <c r="T166" s="2"/>
      <c r="U166" s="29"/>
    </row>
    <row r="167" spans="19:21" ht="14.25" customHeight="1" x14ac:dyDescent="0.25">
      <c r="S167" s="60"/>
      <c r="T167" s="2"/>
      <c r="U167" s="29"/>
    </row>
    <row r="168" spans="19:21" ht="14.25" customHeight="1" x14ac:dyDescent="0.25">
      <c r="S168" s="60"/>
      <c r="T168" s="2"/>
      <c r="U168" s="29"/>
    </row>
    <row r="169" spans="19:21" ht="14.25" customHeight="1" x14ac:dyDescent="0.25">
      <c r="S169" s="60"/>
      <c r="T169" s="2"/>
      <c r="U169" s="29"/>
    </row>
    <row r="170" spans="19:21" ht="14.25" customHeight="1" x14ac:dyDescent="0.25">
      <c r="S170" s="60"/>
      <c r="T170" s="2"/>
      <c r="U170" s="29"/>
    </row>
    <row r="171" spans="19:21" ht="14.25" customHeight="1" x14ac:dyDescent="0.25">
      <c r="S171" s="60"/>
      <c r="T171" s="2"/>
      <c r="U171" s="29"/>
    </row>
    <row r="172" spans="19:21" ht="14.25" customHeight="1" x14ac:dyDescent="0.25">
      <c r="S172" s="60"/>
      <c r="T172" s="2"/>
      <c r="U172" s="29"/>
    </row>
    <row r="173" spans="19:21" ht="14.25" customHeight="1" x14ac:dyDescent="0.25">
      <c r="S173" s="60"/>
      <c r="T173" s="2"/>
      <c r="U173" s="29"/>
    </row>
    <row r="174" spans="19:21" ht="14.25" customHeight="1" x14ac:dyDescent="0.25">
      <c r="S174" s="60"/>
      <c r="T174" s="2"/>
      <c r="U174" s="29"/>
    </row>
    <row r="175" spans="19:21" ht="14.25" customHeight="1" x14ac:dyDescent="0.25">
      <c r="S175" s="60"/>
      <c r="T175" s="2"/>
      <c r="U175" s="29"/>
    </row>
    <row r="176" spans="19:21" ht="14.25" customHeight="1" x14ac:dyDescent="0.25">
      <c r="S176" s="60"/>
      <c r="T176" s="2"/>
      <c r="U176" s="29"/>
    </row>
    <row r="177" spans="19:21" ht="14.25" customHeight="1" x14ac:dyDescent="0.25">
      <c r="S177" s="60"/>
      <c r="T177" s="2"/>
      <c r="U177" s="29"/>
    </row>
    <row r="178" spans="19:21" ht="14.25" customHeight="1" x14ac:dyDescent="0.25">
      <c r="S178" s="60"/>
      <c r="T178" s="2"/>
      <c r="U178" s="29"/>
    </row>
    <row r="179" spans="19:21" ht="14.25" customHeight="1" x14ac:dyDescent="0.25">
      <c r="S179" s="60"/>
      <c r="T179" s="2"/>
      <c r="U179" s="29"/>
    </row>
    <row r="180" spans="19:21" ht="14.25" customHeight="1" x14ac:dyDescent="0.25">
      <c r="S180" s="60"/>
      <c r="T180" s="2"/>
      <c r="U180" s="29"/>
    </row>
    <row r="181" spans="19:21" ht="14.25" customHeight="1" x14ac:dyDescent="0.25">
      <c r="S181" s="60"/>
      <c r="T181" s="2"/>
      <c r="U181" s="29"/>
    </row>
    <row r="182" spans="19:21" ht="14.25" customHeight="1" x14ac:dyDescent="0.25">
      <c r="S182" s="60"/>
      <c r="T182" s="2"/>
      <c r="U182" s="29"/>
    </row>
    <row r="183" spans="19:21" ht="14.25" customHeight="1" x14ac:dyDescent="0.25">
      <c r="S183" s="60"/>
      <c r="T183" s="2"/>
      <c r="U183" s="29"/>
    </row>
    <row r="184" spans="19:21" ht="14.25" customHeight="1" x14ac:dyDescent="0.25">
      <c r="S184" s="60"/>
      <c r="T184" s="2"/>
      <c r="U184" s="29"/>
    </row>
    <row r="185" spans="19:21" ht="14.25" customHeight="1" x14ac:dyDescent="0.25">
      <c r="S185" s="60"/>
      <c r="T185" s="2"/>
      <c r="U185" s="29"/>
    </row>
    <row r="186" spans="19:21" ht="14.25" customHeight="1" x14ac:dyDescent="0.25">
      <c r="S186" s="60"/>
      <c r="T186" s="2"/>
      <c r="U186" s="29"/>
    </row>
    <row r="187" spans="19:21" ht="14.25" customHeight="1" x14ac:dyDescent="0.25">
      <c r="S187" s="60"/>
      <c r="T187" s="2"/>
      <c r="U187" s="29"/>
    </row>
    <row r="188" spans="19:21" ht="14.25" customHeight="1" x14ac:dyDescent="0.25">
      <c r="S188" s="60"/>
      <c r="T188" s="2"/>
      <c r="U188" s="29"/>
    </row>
    <row r="189" spans="19:21" ht="14.25" customHeight="1" x14ac:dyDescent="0.25">
      <c r="S189" s="60"/>
      <c r="T189" s="2"/>
      <c r="U189" s="29"/>
    </row>
    <row r="190" spans="19:21" ht="14.25" customHeight="1" x14ac:dyDescent="0.25">
      <c r="S190" s="60"/>
      <c r="T190" s="2"/>
      <c r="U190" s="29"/>
    </row>
    <row r="191" spans="19:21" ht="14.25" customHeight="1" x14ac:dyDescent="0.25">
      <c r="S191" s="60"/>
      <c r="T191" s="2"/>
      <c r="U191" s="29"/>
    </row>
    <row r="192" spans="19:21" ht="14.25" customHeight="1" x14ac:dyDescent="0.25">
      <c r="S192" s="60"/>
      <c r="T192" s="2"/>
      <c r="U192" s="29"/>
    </row>
    <row r="193" spans="19:21" ht="14.25" customHeight="1" x14ac:dyDescent="0.25">
      <c r="S193" s="60"/>
      <c r="T193" s="2"/>
      <c r="U193" s="29"/>
    </row>
    <row r="194" spans="19:21" ht="14.25" customHeight="1" x14ac:dyDescent="0.25">
      <c r="S194" s="60"/>
      <c r="T194" s="2"/>
      <c r="U194" s="29"/>
    </row>
    <row r="195" spans="19:21" ht="14.25" customHeight="1" x14ac:dyDescent="0.25">
      <c r="S195" s="60"/>
      <c r="T195" s="2"/>
      <c r="U195" s="29"/>
    </row>
    <row r="196" spans="19:21" ht="14.25" customHeight="1" x14ac:dyDescent="0.25">
      <c r="S196" s="60"/>
      <c r="T196" s="2"/>
      <c r="U196" s="29"/>
    </row>
    <row r="197" spans="19:21" ht="14.25" customHeight="1" x14ac:dyDescent="0.25">
      <c r="S197" s="60"/>
      <c r="T197" s="2"/>
      <c r="U197" s="29"/>
    </row>
    <row r="198" spans="19:21" ht="14.25" customHeight="1" x14ac:dyDescent="0.25">
      <c r="S198" s="60"/>
      <c r="T198" s="2"/>
      <c r="U198" s="29"/>
    </row>
    <row r="199" spans="19:21" ht="14.25" customHeight="1" x14ac:dyDescent="0.25">
      <c r="S199" s="60"/>
      <c r="T199" s="2"/>
      <c r="U199" s="29"/>
    </row>
    <row r="200" spans="19:21" ht="14.25" customHeight="1" x14ac:dyDescent="0.25">
      <c r="S200" s="60"/>
      <c r="T200" s="2"/>
      <c r="U200" s="29"/>
    </row>
    <row r="201" spans="19:21" ht="14.25" customHeight="1" x14ac:dyDescent="0.25">
      <c r="S201" s="60"/>
      <c r="T201" s="2"/>
      <c r="U201" s="29"/>
    </row>
    <row r="202" spans="19:21" ht="14.25" customHeight="1" x14ac:dyDescent="0.25">
      <c r="S202" s="60"/>
      <c r="T202" s="2"/>
      <c r="U202" s="29"/>
    </row>
    <row r="203" spans="19:21" ht="14.25" customHeight="1" x14ac:dyDescent="0.25">
      <c r="S203" s="60"/>
      <c r="T203" s="2"/>
      <c r="U203" s="29"/>
    </row>
    <row r="204" spans="19:21" ht="14.25" customHeight="1" x14ac:dyDescent="0.25">
      <c r="S204" s="60"/>
      <c r="T204" s="2"/>
      <c r="U204" s="29"/>
    </row>
    <row r="205" spans="19:21" ht="14.25" customHeight="1" x14ac:dyDescent="0.25">
      <c r="S205" s="60"/>
      <c r="T205" s="2"/>
      <c r="U205" s="29"/>
    </row>
    <row r="206" spans="19:21" ht="14.25" customHeight="1" x14ac:dyDescent="0.25">
      <c r="S206" s="60"/>
      <c r="T206" s="2"/>
      <c r="U206" s="29"/>
    </row>
    <row r="207" spans="19:21" ht="14.25" customHeight="1" x14ac:dyDescent="0.25">
      <c r="S207" s="60"/>
      <c r="T207" s="2"/>
      <c r="U207" s="29"/>
    </row>
    <row r="208" spans="19:21" ht="14.25" customHeight="1" x14ac:dyDescent="0.25">
      <c r="S208" s="60"/>
      <c r="T208" s="2"/>
      <c r="U208" s="29"/>
    </row>
    <row r="209" spans="19:21" ht="14.25" customHeight="1" x14ac:dyDescent="0.25">
      <c r="S209" s="60"/>
      <c r="T209" s="2"/>
      <c r="U209" s="29"/>
    </row>
    <row r="210" spans="19:21" ht="14.25" customHeight="1" x14ac:dyDescent="0.25">
      <c r="S210" s="60"/>
      <c r="T210" s="2"/>
      <c r="U210" s="29"/>
    </row>
    <row r="211" spans="19:21" ht="14.25" customHeight="1" x14ac:dyDescent="0.25">
      <c r="S211" s="60"/>
      <c r="T211" s="2"/>
      <c r="U211" s="29"/>
    </row>
    <row r="212" spans="19:21" ht="14.25" customHeight="1" x14ac:dyDescent="0.25">
      <c r="S212" s="60"/>
      <c r="T212" s="2"/>
      <c r="U212" s="29"/>
    </row>
    <row r="213" spans="19:21" ht="14.25" customHeight="1" x14ac:dyDescent="0.25">
      <c r="S213" s="60"/>
      <c r="T213" s="2"/>
      <c r="U213" s="29"/>
    </row>
    <row r="214" spans="19:21" ht="14.25" customHeight="1" x14ac:dyDescent="0.25">
      <c r="S214" s="60"/>
      <c r="T214" s="2"/>
      <c r="U214" s="29"/>
    </row>
    <row r="215" spans="19:21" ht="14.25" customHeight="1" x14ac:dyDescent="0.25">
      <c r="S215" s="60"/>
      <c r="T215" s="2"/>
      <c r="U215" s="29"/>
    </row>
    <row r="216" spans="19:21" ht="14.25" customHeight="1" x14ac:dyDescent="0.25">
      <c r="S216" s="60"/>
      <c r="T216" s="2"/>
      <c r="U216" s="29"/>
    </row>
    <row r="217" spans="19:21" ht="14.25" customHeight="1" x14ac:dyDescent="0.25">
      <c r="S217" s="60"/>
      <c r="T217" s="2"/>
      <c r="U217" s="29"/>
    </row>
    <row r="218" spans="19:21" ht="14.25" customHeight="1" x14ac:dyDescent="0.25">
      <c r="S218" s="60"/>
      <c r="T218" s="2"/>
      <c r="U218" s="29"/>
    </row>
    <row r="219" spans="19:21" ht="14.25" customHeight="1" x14ac:dyDescent="0.25">
      <c r="S219" s="60"/>
      <c r="T219" s="2"/>
      <c r="U219" s="29"/>
    </row>
    <row r="220" spans="19:21" ht="14.25" customHeight="1" x14ac:dyDescent="0.25">
      <c r="S220" s="60"/>
      <c r="T220" s="2"/>
      <c r="U220" s="29"/>
    </row>
    <row r="221" spans="19:21" ht="14.25" customHeight="1" x14ac:dyDescent="0.25">
      <c r="S221" s="60"/>
      <c r="T221" s="2"/>
      <c r="U221" s="29"/>
    </row>
    <row r="222" spans="19:21" ht="14.25" customHeight="1" x14ac:dyDescent="0.25">
      <c r="S222" s="60"/>
      <c r="T222" s="2"/>
      <c r="U222" s="29"/>
    </row>
    <row r="223" spans="19:21" ht="14.25" customHeight="1" x14ac:dyDescent="0.25">
      <c r="S223" s="60"/>
      <c r="T223" s="2"/>
      <c r="U223" s="29"/>
    </row>
    <row r="224" spans="19:21" ht="14.25" customHeight="1" x14ac:dyDescent="0.25">
      <c r="S224" s="60"/>
      <c r="T224" s="2"/>
      <c r="U224" s="29"/>
    </row>
    <row r="225" spans="19:21" ht="14.25" customHeight="1" x14ac:dyDescent="0.25">
      <c r="S225" s="60"/>
      <c r="T225" s="2"/>
      <c r="U225" s="29"/>
    </row>
    <row r="226" spans="19:21" ht="14.25" customHeight="1" x14ac:dyDescent="0.25">
      <c r="S226" s="60"/>
      <c r="T226" s="2"/>
      <c r="U226" s="29"/>
    </row>
    <row r="227" spans="19:21" ht="14.25" customHeight="1" x14ac:dyDescent="0.25">
      <c r="S227" s="60"/>
      <c r="T227" s="2"/>
      <c r="U227" s="29"/>
    </row>
    <row r="228" spans="19:21" ht="14.25" customHeight="1" x14ac:dyDescent="0.25">
      <c r="S228" s="60"/>
      <c r="T228" s="2"/>
      <c r="U228" s="29"/>
    </row>
    <row r="229" spans="19:21" ht="14.25" customHeight="1" x14ac:dyDescent="0.25">
      <c r="S229" s="60"/>
      <c r="T229" s="2"/>
      <c r="U229" s="29"/>
    </row>
    <row r="230" spans="19:21" ht="14.25" customHeight="1" x14ac:dyDescent="0.25">
      <c r="S230" s="60"/>
      <c r="T230" s="2"/>
      <c r="U230" s="29"/>
    </row>
    <row r="231" spans="19:21" ht="14.25" customHeight="1" x14ac:dyDescent="0.25">
      <c r="S231" s="60"/>
      <c r="T231" s="2"/>
      <c r="U231" s="29"/>
    </row>
    <row r="232" spans="19:21" ht="14.25" customHeight="1" x14ac:dyDescent="0.25">
      <c r="S232" s="60"/>
      <c r="T232" s="2"/>
      <c r="U232" s="29"/>
    </row>
    <row r="233" spans="19:21" ht="14.25" customHeight="1" x14ac:dyDescent="0.25">
      <c r="S233" s="60"/>
      <c r="T233" s="2"/>
      <c r="U233" s="29"/>
    </row>
    <row r="234" spans="19:21" ht="14.25" customHeight="1" x14ac:dyDescent="0.25">
      <c r="S234" s="60"/>
      <c r="T234" s="2"/>
      <c r="U234" s="29"/>
    </row>
    <row r="235" spans="19:21" ht="14.25" customHeight="1" x14ac:dyDescent="0.25">
      <c r="S235" s="60"/>
      <c r="T235" s="2"/>
      <c r="U235" s="29"/>
    </row>
    <row r="236" spans="19:21" ht="14.25" customHeight="1" x14ac:dyDescent="0.25">
      <c r="S236" s="60"/>
      <c r="T236" s="2"/>
      <c r="U236" s="29"/>
    </row>
    <row r="237" spans="19:21" ht="14.25" customHeight="1" x14ac:dyDescent="0.25">
      <c r="S237" s="60"/>
      <c r="T237" s="2"/>
      <c r="U237" s="29"/>
    </row>
    <row r="238" spans="19:21" ht="14.25" customHeight="1" x14ac:dyDescent="0.25">
      <c r="S238" s="60"/>
      <c r="T238" s="2"/>
      <c r="U238" s="29"/>
    </row>
    <row r="239" spans="19:21" ht="14.25" customHeight="1" x14ac:dyDescent="0.25">
      <c r="S239" s="60"/>
      <c r="T239" s="2"/>
      <c r="U239" s="29"/>
    </row>
    <row r="240" spans="19:21" ht="14.25" customHeight="1" x14ac:dyDescent="0.25">
      <c r="S240" s="60"/>
      <c r="T240" s="2"/>
      <c r="U240" s="29"/>
    </row>
    <row r="241" spans="19:21" ht="14.25" customHeight="1" x14ac:dyDescent="0.25">
      <c r="S241" s="60"/>
      <c r="T241" s="2"/>
      <c r="U241" s="29"/>
    </row>
    <row r="242" spans="19:21" ht="14.25" customHeight="1" x14ac:dyDescent="0.25">
      <c r="S242" s="60"/>
      <c r="T242" s="2"/>
      <c r="U242" s="29"/>
    </row>
    <row r="243" spans="19:21" ht="14.25" customHeight="1" x14ac:dyDescent="0.25">
      <c r="S243" s="60"/>
      <c r="T243" s="2"/>
      <c r="U243" s="29"/>
    </row>
    <row r="244" spans="19:21" ht="14.25" customHeight="1" x14ac:dyDescent="0.25">
      <c r="S244" s="60"/>
      <c r="T244" s="2"/>
      <c r="U244" s="29"/>
    </row>
    <row r="245" spans="19:21" ht="14.25" customHeight="1" x14ac:dyDescent="0.25">
      <c r="S245" s="60"/>
      <c r="T245" s="2"/>
      <c r="U245" s="29"/>
    </row>
    <row r="246" spans="19:21" ht="14.25" customHeight="1" x14ac:dyDescent="0.25">
      <c r="S246" s="60"/>
      <c r="T246" s="2"/>
      <c r="U246" s="29"/>
    </row>
    <row r="247" spans="19:21" ht="14.25" customHeight="1" x14ac:dyDescent="0.25">
      <c r="S247" s="60"/>
      <c r="T247" s="2"/>
      <c r="U247" s="29"/>
    </row>
    <row r="248" spans="19:21" ht="14.25" customHeight="1" x14ac:dyDescent="0.25">
      <c r="S248" s="60"/>
      <c r="T248" s="2"/>
      <c r="U248" s="29"/>
    </row>
    <row r="249" spans="19:21" ht="14.25" customHeight="1" x14ac:dyDescent="0.25">
      <c r="S249" s="60"/>
      <c r="T249" s="2"/>
      <c r="U249" s="29"/>
    </row>
    <row r="250" spans="19:21" ht="14.25" customHeight="1" x14ac:dyDescent="0.25">
      <c r="S250" s="60"/>
      <c r="T250" s="2"/>
      <c r="U250" s="29"/>
    </row>
    <row r="251" spans="19:21" ht="14.25" customHeight="1" x14ac:dyDescent="0.25">
      <c r="S251" s="60"/>
      <c r="T251" s="2"/>
      <c r="U251" s="29"/>
    </row>
    <row r="252" spans="19:21" ht="14.25" customHeight="1" x14ac:dyDescent="0.25">
      <c r="S252" s="60"/>
      <c r="T252" s="2"/>
      <c r="U252" s="29"/>
    </row>
    <row r="253" spans="19:21" ht="14.25" customHeight="1" x14ac:dyDescent="0.25">
      <c r="S253" s="60"/>
      <c r="T253" s="2"/>
      <c r="U253" s="29"/>
    </row>
    <row r="254" spans="19:21" ht="14.25" customHeight="1" x14ac:dyDescent="0.25">
      <c r="S254" s="60"/>
      <c r="T254" s="2"/>
      <c r="U254" s="29"/>
    </row>
    <row r="255" spans="19:21" ht="14.25" customHeight="1" x14ac:dyDescent="0.25">
      <c r="S255" s="60"/>
      <c r="T255" s="2"/>
      <c r="U255" s="29"/>
    </row>
    <row r="256" spans="19:21" ht="14.25" customHeight="1" x14ac:dyDescent="0.25">
      <c r="S256" s="60"/>
      <c r="T256" s="2"/>
      <c r="U256" s="29"/>
    </row>
    <row r="257" spans="19:21" ht="14.25" customHeight="1" x14ac:dyDescent="0.25">
      <c r="S257" s="60"/>
      <c r="T257" s="2"/>
      <c r="U257" s="29"/>
    </row>
    <row r="258" spans="19:21" ht="14.25" customHeight="1" x14ac:dyDescent="0.25">
      <c r="S258" s="60"/>
      <c r="T258" s="2"/>
      <c r="U258" s="29"/>
    </row>
    <row r="259" spans="19:21" ht="14.25" customHeight="1" x14ac:dyDescent="0.25">
      <c r="S259" s="60"/>
      <c r="T259" s="2"/>
      <c r="U259" s="29"/>
    </row>
    <row r="260" spans="19:21" ht="14.25" customHeight="1" x14ac:dyDescent="0.25">
      <c r="S260" s="60"/>
      <c r="T260" s="2"/>
      <c r="U260" s="29"/>
    </row>
    <row r="261" spans="19:21" ht="14.25" customHeight="1" x14ac:dyDescent="0.25">
      <c r="S261" s="60"/>
      <c r="T261" s="2"/>
      <c r="U261" s="29"/>
    </row>
    <row r="262" spans="19:21" ht="14.25" customHeight="1" x14ac:dyDescent="0.25">
      <c r="S262" s="60"/>
      <c r="T262" s="2"/>
      <c r="U262" s="29"/>
    </row>
    <row r="263" spans="19:21" ht="14.25" customHeight="1" x14ac:dyDescent="0.25">
      <c r="S263" s="60"/>
      <c r="T263" s="2"/>
      <c r="U263" s="29"/>
    </row>
    <row r="264" spans="19:21" ht="14.25" customHeight="1" x14ac:dyDescent="0.25">
      <c r="S264" s="60"/>
      <c r="T264" s="2"/>
      <c r="U264" s="29"/>
    </row>
    <row r="265" spans="19:21" ht="14.25" customHeight="1" x14ac:dyDescent="0.25">
      <c r="S265" s="60"/>
      <c r="T265" s="2"/>
      <c r="U265" s="29"/>
    </row>
    <row r="266" spans="19:21" ht="14.25" customHeight="1" x14ac:dyDescent="0.25">
      <c r="S266" s="60"/>
      <c r="T266" s="2"/>
      <c r="U266" s="29"/>
    </row>
    <row r="267" spans="19:21" ht="14.25" customHeight="1" x14ac:dyDescent="0.25">
      <c r="S267" s="60"/>
      <c r="T267" s="2"/>
      <c r="U267" s="29"/>
    </row>
    <row r="268" spans="19:21" ht="14.25" customHeight="1" x14ac:dyDescent="0.25">
      <c r="S268" s="60"/>
      <c r="T268" s="2"/>
      <c r="U268" s="29"/>
    </row>
    <row r="269" spans="19:21" ht="14.25" customHeight="1" x14ac:dyDescent="0.25">
      <c r="S269" s="60"/>
      <c r="T269" s="2"/>
      <c r="U269" s="29"/>
    </row>
    <row r="270" spans="19:21" ht="14.25" customHeight="1" x14ac:dyDescent="0.25">
      <c r="S270" s="60"/>
      <c r="T270" s="2"/>
      <c r="U270" s="29"/>
    </row>
    <row r="271" spans="19:21" ht="14.25" customHeight="1" x14ac:dyDescent="0.25">
      <c r="S271" s="60"/>
      <c r="T271" s="2"/>
      <c r="U271" s="29"/>
    </row>
    <row r="272" spans="19:21" ht="14.25" customHeight="1" x14ac:dyDescent="0.25">
      <c r="S272" s="60"/>
      <c r="T272" s="2"/>
      <c r="U272" s="29"/>
    </row>
    <row r="273" spans="19:21" ht="14.25" customHeight="1" x14ac:dyDescent="0.25">
      <c r="S273" s="60"/>
      <c r="T273" s="2"/>
      <c r="U273" s="29"/>
    </row>
    <row r="274" spans="19:21" ht="14.25" customHeight="1" x14ac:dyDescent="0.25">
      <c r="S274" s="60"/>
      <c r="T274" s="2"/>
      <c r="U274" s="29"/>
    </row>
    <row r="275" spans="19:21" ht="14.25" customHeight="1" x14ac:dyDescent="0.25">
      <c r="S275" s="60"/>
      <c r="T275" s="2"/>
      <c r="U275" s="29"/>
    </row>
    <row r="276" spans="19:21" ht="14.25" customHeight="1" x14ac:dyDescent="0.25">
      <c r="S276" s="60"/>
      <c r="T276" s="2"/>
      <c r="U276" s="29"/>
    </row>
    <row r="277" spans="19:21" ht="14.25" customHeight="1" x14ac:dyDescent="0.25">
      <c r="S277" s="60"/>
      <c r="T277" s="2"/>
      <c r="U277" s="29"/>
    </row>
    <row r="278" spans="19:21" ht="14.25" customHeight="1" x14ac:dyDescent="0.25">
      <c r="S278" s="60"/>
      <c r="T278" s="2"/>
      <c r="U278" s="29"/>
    </row>
    <row r="279" spans="19:21" ht="14.25" customHeight="1" x14ac:dyDescent="0.25">
      <c r="S279" s="60"/>
      <c r="T279" s="2"/>
      <c r="U279" s="29"/>
    </row>
    <row r="280" spans="19:21" ht="14.25" customHeight="1" x14ac:dyDescent="0.25">
      <c r="S280" s="60"/>
      <c r="T280" s="2"/>
      <c r="U280" s="29"/>
    </row>
    <row r="281" spans="19:21" ht="14.25" customHeight="1" x14ac:dyDescent="0.25">
      <c r="S281" s="60"/>
      <c r="T281" s="2"/>
      <c r="U281" s="29"/>
    </row>
    <row r="282" spans="19:21" ht="14.25" customHeight="1" x14ac:dyDescent="0.25">
      <c r="S282" s="60"/>
      <c r="T282" s="2"/>
      <c r="U282" s="29"/>
    </row>
    <row r="283" spans="19:21" ht="14.25" customHeight="1" x14ac:dyDescent="0.25">
      <c r="S283" s="60"/>
      <c r="T283" s="2"/>
      <c r="U283" s="29"/>
    </row>
    <row r="284" spans="19:21" ht="14.25" customHeight="1" x14ac:dyDescent="0.25">
      <c r="S284" s="60"/>
      <c r="T284" s="2"/>
      <c r="U284" s="29"/>
    </row>
    <row r="285" spans="19:21" ht="14.25" customHeight="1" x14ac:dyDescent="0.25">
      <c r="S285" s="60"/>
      <c r="T285" s="2"/>
      <c r="U285" s="29"/>
    </row>
    <row r="286" spans="19:21" ht="14.25" customHeight="1" x14ac:dyDescent="0.25">
      <c r="S286" s="60"/>
      <c r="T286" s="2"/>
      <c r="U286" s="29"/>
    </row>
    <row r="287" spans="19:21" ht="14.25" customHeight="1" x14ac:dyDescent="0.25">
      <c r="S287" s="60"/>
      <c r="T287" s="2"/>
      <c r="U287" s="29"/>
    </row>
    <row r="288" spans="19:21" ht="14.25" customHeight="1" x14ac:dyDescent="0.25">
      <c r="S288" s="60"/>
      <c r="T288" s="2"/>
      <c r="U288" s="29"/>
    </row>
    <row r="289" spans="19:21" ht="14.25" customHeight="1" x14ac:dyDescent="0.25">
      <c r="S289" s="60"/>
      <c r="T289" s="2"/>
      <c r="U289" s="29"/>
    </row>
    <row r="290" spans="19:21" ht="14.25" customHeight="1" x14ac:dyDescent="0.25">
      <c r="S290" s="60"/>
      <c r="T290" s="2"/>
      <c r="U290" s="29"/>
    </row>
    <row r="291" spans="19:21" ht="14.25" customHeight="1" x14ac:dyDescent="0.25">
      <c r="S291" s="60"/>
      <c r="T291" s="2"/>
      <c r="U291" s="29"/>
    </row>
    <row r="292" spans="19:21" ht="14.25" customHeight="1" x14ac:dyDescent="0.25">
      <c r="S292" s="60"/>
      <c r="T292" s="2"/>
      <c r="U292" s="29"/>
    </row>
    <row r="293" spans="19:21" ht="14.25" customHeight="1" x14ac:dyDescent="0.25">
      <c r="S293" s="60"/>
      <c r="T293" s="2"/>
      <c r="U293" s="29"/>
    </row>
    <row r="294" spans="19:21" ht="14.25" customHeight="1" x14ac:dyDescent="0.25">
      <c r="S294" s="60"/>
      <c r="T294" s="2"/>
      <c r="U294" s="29"/>
    </row>
    <row r="295" spans="19:21" ht="14.25" customHeight="1" x14ac:dyDescent="0.25">
      <c r="S295" s="60"/>
      <c r="T295" s="2"/>
      <c r="U295" s="29"/>
    </row>
    <row r="296" spans="19:21" ht="14.25" customHeight="1" x14ac:dyDescent="0.25">
      <c r="S296" s="60"/>
      <c r="T296" s="2"/>
      <c r="U296" s="29"/>
    </row>
    <row r="297" spans="19:21" ht="14.25" customHeight="1" x14ac:dyDescent="0.25">
      <c r="S297" s="60"/>
      <c r="T297" s="2"/>
      <c r="U297" s="29"/>
    </row>
    <row r="298" spans="19:21" ht="14.25" customHeight="1" x14ac:dyDescent="0.25">
      <c r="S298" s="60"/>
      <c r="T298" s="2"/>
      <c r="U298" s="29"/>
    </row>
    <row r="299" spans="19:21" ht="14.25" customHeight="1" x14ac:dyDescent="0.25">
      <c r="S299" s="60"/>
      <c r="T299" s="2"/>
      <c r="U299" s="29"/>
    </row>
    <row r="300" spans="19:21" ht="14.25" customHeight="1" x14ac:dyDescent="0.25">
      <c r="S300" s="60"/>
      <c r="T300" s="2"/>
      <c r="U300" s="29"/>
    </row>
    <row r="301" spans="19:21" ht="14.25" customHeight="1" x14ac:dyDescent="0.25">
      <c r="S301" s="60"/>
      <c r="T301" s="2"/>
      <c r="U301" s="29"/>
    </row>
    <row r="302" spans="19:21" ht="14.25" customHeight="1" x14ac:dyDescent="0.25">
      <c r="S302" s="60"/>
      <c r="T302" s="2"/>
      <c r="U302" s="29"/>
    </row>
    <row r="303" spans="19:21" ht="14.25" customHeight="1" x14ac:dyDescent="0.25">
      <c r="S303" s="60"/>
      <c r="T303" s="2"/>
      <c r="U303" s="29"/>
    </row>
    <row r="304" spans="19:21" ht="14.25" customHeight="1" x14ac:dyDescent="0.25">
      <c r="S304" s="60"/>
      <c r="T304" s="2"/>
      <c r="U304" s="29"/>
    </row>
    <row r="305" spans="19:21" ht="14.25" customHeight="1" x14ac:dyDescent="0.25">
      <c r="S305" s="60"/>
      <c r="T305" s="2"/>
      <c r="U305" s="29"/>
    </row>
    <row r="306" spans="19:21" ht="14.25" customHeight="1" x14ac:dyDescent="0.25">
      <c r="S306" s="60"/>
      <c r="T306" s="2"/>
      <c r="U306" s="29"/>
    </row>
    <row r="307" spans="19:21" ht="14.25" customHeight="1" x14ac:dyDescent="0.25">
      <c r="S307" s="60"/>
      <c r="T307" s="2"/>
      <c r="U307" s="29"/>
    </row>
    <row r="308" spans="19:21" ht="14.25" customHeight="1" x14ac:dyDescent="0.25">
      <c r="S308" s="60"/>
      <c r="T308" s="2"/>
      <c r="U308" s="29"/>
    </row>
    <row r="309" spans="19:21" ht="14.25" customHeight="1" x14ac:dyDescent="0.25">
      <c r="S309" s="60"/>
      <c r="T309" s="2"/>
      <c r="U309" s="29"/>
    </row>
    <row r="310" spans="19:21" ht="14.25" customHeight="1" x14ac:dyDescent="0.25">
      <c r="S310" s="60"/>
      <c r="T310" s="2"/>
      <c r="U310" s="29"/>
    </row>
    <row r="311" spans="19:21" ht="14.25" customHeight="1" x14ac:dyDescent="0.25">
      <c r="S311" s="60"/>
      <c r="T311" s="2"/>
      <c r="U311" s="29"/>
    </row>
    <row r="312" spans="19:21" ht="14.25" customHeight="1" x14ac:dyDescent="0.25">
      <c r="S312" s="60"/>
      <c r="T312" s="2"/>
      <c r="U312" s="29"/>
    </row>
    <row r="313" spans="19:21" ht="14.25" customHeight="1" x14ac:dyDescent="0.25">
      <c r="S313" s="60"/>
      <c r="T313" s="2"/>
      <c r="U313" s="29"/>
    </row>
    <row r="314" spans="19:21" ht="14.25" customHeight="1" x14ac:dyDescent="0.25">
      <c r="S314" s="60"/>
      <c r="T314" s="2"/>
      <c r="U314" s="29"/>
    </row>
    <row r="315" spans="19:21" ht="14.25" customHeight="1" x14ac:dyDescent="0.25">
      <c r="S315" s="60"/>
      <c r="T315" s="2"/>
      <c r="U315" s="29"/>
    </row>
    <row r="316" spans="19:21" ht="14.25" customHeight="1" x14ac:dyDescent="0.25">
      <c r="S316" s="60"/>
      <c r="T316" s="2"/>
      <c r="U316" s="29"/>
    </row>
    <row r="317" spans="19:21" ht="14.25" customHeight="1" x14ac:dyDescent="0.25">
      <c r="S317" s="60"/>
      <c r="T317" s="2"/>
      <c r="U317" s="29"/>
    </row>
    <row r="318" spans="19:21" ht="14.25" customHeight="1" x14ac:dyDescent="0.25">
      <c r="S318" s="60"/>
      <c r="T318" s="2"/>
      <c r="U318" s="29"/>
    </row>
    <row r="319" spans="19:21" ht="14.25" customHeight="1" x14ac:dyDescent="0.25">
      <c r="S319" s="60"/>
      <c r="T319" s="2"/>
      <c r="U319" s="29"/>
    </row>
    <row r="320" spans="19:21" ht="14.25" customHeight="1" x14ac:dyDescent="0.25">
      <c r="S320" s="60"/>
      <c r="T320" s="2"/>
      <c r="U320" s="29"/>
    </row>
    <row r="321" spans="19:21" ht="14.25" customHeight="1" x14ac:dyDescent="0.25">
      <c r="S321" s="60"/>
      <c r="T321" s="2"/>
      <c r="U321" s="29"/>
    </row>
    <row r="322" spans="19:21" ht="14.25" customHeight="1" x14ac:dyDescent="0.25">
      <c r="S322" s="60"/>
      <c r="T322" s="2"/>
      <c r="U322" s="29"/>
    </row>
    <row r="323" spans="19:21" ht="14.25" customHeight="1" x14ac:dyDescent="0.25">
      <c r="S323" s="60"/>
      <c r="T323" s="2"/>
      <c r="U323" s="29"/>
    </row>
    <row r="324" spans="19:21" ht="14.25" customHeight="1" x14ac:dyDescent="0.25">
      <c r="S324" s="60"/>
      <c r="T324" s="2"/>
      <c r="U324" s="29"/>
    </row>
    <row r="325" spans="19:21" ht="14.25" customHeight="1" x14ac:dyDescent="0.25">
      <c r="S325" s="60"/>
      <c r="T325" s="2"/>
      <c r="U325" s="29"/>
    </row>
    <row r="326" spans="19:21" ht="14.25" customHeight="1" x14ac:dyDescent="0.25">
      <c r="S326" s="60"/>
      <c r="T326" s="2"/>
      <c r="U326" s="29"/>
    </row>
    <row r="327" spans="19:21" ht="14.25" customHeight="1" x14ac:dyDescent="0.25">
      <c r="S327" s="60"/>
      <c r="T327" s="2"/>
      <c r="U327" s="29"/>
    </row>
    <row r="328" spans="19:21" ht="14.25" customHeight="1" x14ac:dyDescent="0.25">
      <c r="S328" s="60"/>
      <c r="T328" s="2"/>
      <c r="U328" s="29"/>
    </row>
    <row r="329" spans="19:21" ht="14.25" customHeight="1" x14ac:dyDescent="0.25">
      <c r="S329" s="60"/>
      <c r="T329" s="2"/>
      <c r="U329" s="29"/>
    </row>
    <row r="330" spans="19:21" ht="14.25" customHeight="1" x14ac:dyDescent="0.25">
      <c r="S330" s="60"/>
      <c r="T330" s="2"/>
      <c r="U330" s="29"/>
    </row>
    <row r="331" spans="19:21" ht="14.25" customHeight="1" x14ac:dyDescent="0.25">
      <c r="S331" s="60"/>
      <c r="T331" s="2"/>
      <c r="U331" s="29"/>
    </row>
    <row r="332" spans="19:21" ht="14.25" customHeight="1" x14ac:dyDescent="0.25">
      <c r="S332" s="60"/>
      <c r="T332" s="2"/>
      <c r="U332" s="29"/>
    </row>
    <row r="333" spans="19:21" ht="14.25" customHeight="1" x14ac:dyDescent="0.25">
      <c r="S333" s="60"/>
      <c r="T333" s="2"/>
      <c r="U333" s="29"/>
    </row>
    <row r="334" spans="19:21" ht="14.25" customHeight="1" x14ac:dyDescent="0.25">
      <c r="S334" s="60"/>
      <c r="T334" s="2"/>
      <c r="U334" s="29"/>
    </row>
    <row r="335" spans="19:21" ht="14.25" customHeight="1" x14ac:dyDescent="0.25">
      <c r="S335" s="60"/>
      <c r="T335" s="2"/>
      <c r="U335" s="29"/>
    </row>
    <row r="336" spans="19:21" ht="14.25" customHeight="1" x14ac:dyDescent="0.25">
      <c r="S336" s="60"/>
      <c r="T336" s="2"/>
      <c r="U336" s="29"/>
    </row>
    <row r="337" spans="19:21" ht="14.25" customHeight="1" x14ac:dyDescent="0.25">
      <c r="S337" s="60"/>
      <c r="T337" s="2"/>
      <c r="U337" s="29"/>
    </row>
    <row r="338" spans="19:21" ht="14.25" customHeight="1" x14ac:dyDescent="0.25">
      <c r="S338" s="60"/>
      <c r="T338" s="2"/>
      <c r="U338" s="29"/>
    </row>
    <row r="339" spans="19:21" ht="14.25" customHeight="1" x14ac:dyDescent="0.25">
      <c r="S339" s="60"/>
      <c r="T339" s="2"/>
      <c r="U339" s="29"/>
    </row>
    <row r="340" spans="19:21" ht="14.25" customHeight="1" x14ac:dyDescent="0.25">
      <c r="S340" s="60"/>
      <c r="T340" s="2"/>
      <c r="U340" s="29"/>
    </row>
    <row r="341" spans="19:21" ht="14.25" customHeight="1" x14ac:dyDescent="0.25">
      <c r="S341" s="60"/>
      <c r="T341" s="2"/>
      <c r="U341" s="29"/>
    </row>
    <row r="342" spans="19:21" ht="14.25" customHeight="1" x14ac:dyDescent="0.25">
      <c r="S342" s="60"/>
      <c r="T342" s="2"/>
      <c r="U342" s="29"/>
    </row>
    <row r="343" spans="19:21" ht="14.25" customHeight="1" x14ac:dyDescent="0.25">
      <c r="S343" s="60"/>
      <c r="T343" s="2"/>
      <c r="U343" s="29"/>
    </row>
    <row r="344" spans="19:21" ht="14.25" customHeight="1" x14ac:dyDescent="0.25">
      <c r="S344" s="60"/>
      <c r="T344" s="2"/>
      <c r="U344" s="29"/>
    </row>
    <row r="345" spans="19:21" ht="14.25" customHeight="1" x14ac:dyDescent="0.25">
      <c r="S345" s="60"/>
      <c r="T345" s="2"/>
      <c r="U345" s="29"/>
    </row>
    <row r="346" spans="19:21" ht="14.25" customHeight="1" x14ac:dyDescent="0.25">
      <c r="S346" s="60"/>
      <c r="T346" s="2"/>
      <c r="U346" s="29"/>
    </row>
    <row r="347" spans="19:21" ht="14.25" customHeight="1" x14ac:dyDescent="0.25">
      <c r="S347" s="60"/>
      <c r="T347" s="2"/>
      <c r="U347" s="29"/>
    </row>
    <row r="348" spans="19:21" ht="14.25" customHeight="1" x14ac:dyDescent="0.25">
      <c r="S348" s="60"/>
      <c r="T348" s="2"/>
      <c r="U348" s="29"/>
    </row>
    <row r="349" spans="19:21" ht="14.25" customHeight="1" x14ac:dyDescent="0.25">
      <c r="S349" s="60"/>
      <c r="T349" s="2"/>
      <c r="U349" s="29"/>
    </row>
    <row r="350" spans="19:21" ht="14.25" customHeight="1" x14ac:dyDescent="0.25">
      <c r="S350" s="60"/>
      <c r="T350" s="2"/>
      <c r="U350" s="29"/>
    </row>
    <row r="351" spans="19:21" ht="14.25" customHeight="1" x14ac:dyDescent="0.25">
      <c r="S351" s="60"/>
      <c r="T351" s="2"/>
      <c r="U351" s="29"/>
    </row>
    <row r="352" spans="19:21" ht="14.25" customHeight="1" x14ac:dyDescent="0.25">
      <c r="S352" s="60"/>
      <c r="T352" s="2"/>
      <c r="U352" s="29"/>
    </row>
    <row r="353" spans="19:21" ht="14.25" customHeight="1" x14ac:dyDescent="0.25">
      <c r="S353" s="60"/>
      <c r="T353" s="2"/>
      <c r="U353" s="29"/>
    </row>
    <row r="354" spans="19:21" ht="14.25" customHeight="1" x14ac:dyDescent="0.25">
      <c r="S354" s="60"/>
      <c r="T354" s="2"/>
      <c r="U354" s="29"/>
    </row>
    <row r="355" spans="19:21" ht="14.25" customHeight="1" x14ac:dyDescent="0.25">
      <c r="S355" s="60"/>
      <c r="T355" s="2"/>
      <c r="U355" s="29"/>
    </row>
    <row r="356" spans="19:21" ht="14.25" customHeight="1" x14ac:dyDescent="0.25">
      <c r="S356" s="60"/>
      <c r="T356" s="2"/>
      <c r="U356" s="29"/>
    </row>
    <row r="357" spans="19:21" ht="14.25" customHeight="1" x14ac:dyDescent="0.25">
      <c r="S357" s="60"/>
      <c r="T357" s="2"/>
      <c r="U357" s="29"/>
    </row>
    <row r="358" spans="19:21" ht="14.25" customHeight="1" x14ac:dyDescent="0.25">
      <c r="S358" s="60"/>
      <c r="T358" s="2"/>
      <c r="U358" s="29"/>
    </row>
    <row r="359" spans="19:21" ht="14.25" customHeight="1" x14ac:dyDescent="0.25">
      <c r="S359" s="60"/>
      <c r="T359" s="2"/>
      <c r="U359" s="29"/>
    </row>
    <row r="360" spans="19:21" ht="14.25" customHeight="1" x14ac:dyDescent="0.25">
      <c r="S360" s="60"/>
      <c r="T360" s="2"/>
      <c r="U360" s="29"/>
    </row>
    <row r="361" spans="19:21" ht="14.25" customHeight="1" x14ac:dyDescent="0.25">
      <c r="S361" s="60"/>
      <c r="T361" s="2"/>
      <c r="U361" s="29"/>
    </row>
    <row r="362" spans="19:21" ht="14.25" customHeight="1" x14ac:dyDescent="0.25">
      <c r="S362" s="60"/>
      <c r="T362" s="2"/>
      <c r="U362" s="29"/>
    </row>
    <row r="363" spans="19:21" ht="14.25" customHeight="1" x14ac:dyDescent="0.25">
      <c r="S363" s="60"/>
      <c r="T363" s="2"/>
      <c r="U363" s="29"/>
    </row>
    <row r="364" spans="19:21" ht="14.25" customHeight="1" x14ac:dyDescent="0.25">
      <c r="S364" s="60"/>
      <c r="T364" s="2"/>
      <c r="U364" s="29"/>
    </row>
    <row r="365" spans="19:21" ht="14.25" customHeight="1" x14ac:dyDescent="0.25">
      <c r="S365" s="60"/>
      <c r="T365" s="2"/>
      <c r="U365" s="29"/>
    </row>
    <row r="366" spans="19:21" ht="14.25" customHeight="1" x14ac:dyDescent="0.25">
      <c r="S366" s="60"/>
      <c r="T366" s="2"/>
      <c r="U366" s="29"/>
    </row>
    <row r="367" spans="19:21" ht="14.25" customHeight="1" x14ac:dyDescent="0.25">
      <c r="S367" s="60"/>
      <c r="T367" s="2"/>
      <c r="U367" s="29"/>
    </row>
    <row r="368" spans="19:21" ht="14.25" customHeight="1" x14ac:dyDescent="0.25">
      <c r="S368" s="60"/>
      <c r="T368" s="2"/>
      <c r="U368" s="29"/>
    </row>
    <row r="369" spans="19:21" ht="14.25" customHeight="1" x14ac:dyDescent="0.25">
      <c r="S369" s="60"/>
      <c r="T369" s="2"/>
      <c r="U369" s="29"/>
    </row>
    <row r="370" spans="19:21" ht="14.25" customHeight="1" x14ac:dyDescent="0.25">
      <c r="S370" s="60"/>
      <c r="T370" s="2"/>
      <c r="U370" s="29"/>
    </row>
    <row r="371" spans="19:21" ht="14.25" customHeight="1" x14ac:dyDescent="0.25">
      <c r="S371" s="60"/>
      <c r="T371" s="2"/>
      <c r="U371" s="29"/>
    </row>
    <row r="372" spans="19:21" ht="14.25" customHeight="1" x14ac:dyDescent="0.25">
      <c r="S372" s="60"/>
      <c r="T372" s="2"/>
      <c r="U372" s="29"/>
    </row>
    <row r="373" spans="19:21" ht="14.25" customHeight="1" x14ac:dyDescent="0.25">
      <c r="S373" s="60"/>
      <c r="T373" s="2"/>
      <c r="U373" s="29"/>
    </row>
    <row r="374" spans="19:21" ht="14.25" customHeight="1" x14ac:dyDescent="0.25">
      <c r="S374" s="60"/>
      <c r="T374" s="2"/>
      <c r="U374" s="29"/>
    </row>
    <row r="375" spans="19:21" ht="14.25" customHeight="1" x14ac:dyDescent="0.25">
      <c r="S375" s="60"/>
      <c r="T375" s="2"/>
      <c r="U375" s="29"/>
    </row>
    <row r="376" spans="19:21" ht="14.25" customHeight="1" x14ac:dyDescent="0.25">
      <c r="S376" s="60"/>
      <c r="T376" s="2"/>
      <c r="U376" s="29"/>
    </row>
    <row r="377" spans="19:21" ht="14.25" customHeight="1" x14ac:dyDescent="0.25">
      <c r="S377" s="60"/>
      <c r="T377" s="2"/>
      <c r="U377" s="29"/>
    </row>
    <row r="378" spans="19:21" ht="14.25" customHeight="1" x14ac:dyDescent="0.25">
      <c r="S378" s="60"/>
      <c r="T378" s="2"/>
      <c r="U378" s="29"/>
    </row>
    <row r="379" spans="19:21" ht="14.25" customHeight="1" x14ac:dyDescent="0.25">
      <c r="S379" s="60"/>
      <c r="T379" s="2"/>
      <c r="U379" s="29"/>
    </row>
    <row r="380" spans="19:21" ht="14.25" customHeight="1" x14ac:dyDescent="0.25">
      <c r="S380" s="60"/>
      <c r="T380" s="2"/>
      <c r="U380" s="29"/>
    </row>
    <row r="381" spans="19:21" ht="14.25" customHeight="1" x14ac:dyDescent="0.25">
      <c r="S381" s="60"/>
      <c r="T381" s="2"/>
      <c r="U381" s="29"/>
    </row>
    <row r="382" spans="19:21" ht="14.25" customHeight="1" x14ac:dyDescent="0.25">
      <c r="S382" s="60"/>
      <c r="T382" s="2"/>
      <c r="U382" s="29"/>
    </row>
    <row r="383" spans="19:21" ht="14.25" customHeight="1" x14ac:dyDescent="0.25">
      <c r="S383" s="60"/>
      <c r="T383" s="2"/>
      <c r="U383" s="29"/>
    </row>
    <row r="384" spans="19:21" ht="14.25" customHeight="1" x14ac:dyDescent="0.25">
      <c r="S384" s="60"/>
      <c r="T384" s="2"/>
      <c r="U384" s="29"/>
    </row>
    <row r="385" spans="19:21" ht="14.25" customHeight="1" x14ac:dyDescent="0.25">
      <c r="S385" s="60"/>
      <c r="T385" s="2"/>
      <c r="U385" s="29"/>
    </row>
    <row r="386" spans="19:21" ht="14.25" customHeight="1" x14ac:dyDescent="0.25">
      <c r="S386" s="60"/>
      <c r="T386" s="2"/>
      <c r="U386" s="29"/>
    </row>
    <row r="387" spans="19:21" ht="14.25" customHeight="1" x14ac:dyDescent="0.25">
      <c r="S387" s="60"/>
      <c r="T387" s="2"/>
      <c r="U387" s="29"/>
    </row>
    <row r="388" spans="19:21" ht="14.25" customHeight="1" x14ac:dyDescent="0.25">
      <c r="S388" s="60"/>
      <c r="T388" s="2"/>
      <c r="U388" s="29"/>
    </row>
    <row r="389" spans="19:21" ht="14.25" customHeight="1" x14ac:dyDescent="0.25">
      <c r="S389" s="60"/>
      <c r="T389" s="2"/>
      <c r="U389" s="29"/>
    </row>
    <row r="390" spans="19:21" ht="14.25" customHeight="1" x14ac:dyDescent="0.25">
      <c r="S390" s="60"/>
      <c r="T390" s="2"/>
      <c r="U390" s="29"/>
    </row>
    <row r="391" spans="19:21" ht="14.25" customHeight="1" x14ac:dyDescent="0.25">
      <c r="S391" s="60"/>
      <c r="T391" s="2"/>
      <c r="U391" s="29"/>
    </row>
    <row r="392" spans="19:21" ht="14.25" customHeight="1" x14ac:dyDescent="0.25">
      <c r="S392" s="60"/>
      <c r="T392" s="2"/>
      <c r="U392" s="29"/>
    </row>
    <row r="393" spans="19:21" ht="14.25" customHeight="1" x14ac:dyDescent="0.25">
      <c r="S393" s="60"/>
      <c r="T393" s="2"/>
      <c r="U393" s="29"/>
    </row>
    <row r="394" spans="19:21" ht="14.25" customHeight="1" x14ac:dyDescent="0.25">
      <c r="S394" s="60"/>
      <c r="T394" s="2"/>
      <c r="U394" s="29"/>
    </row>
    <row r="395" spans="19:21" ht="14.25" customHeight="1" x14ac:dyDescent="0.25">
      <c r="S395" s="60"/>
      <c r="T395" s="2"/>
      <c r="U395" s="29"/>
    </row>
    <row r="396" spans="19:21" ht="14.25" customHeight="1" x14ac:dyDescent="0.25">
      <c r="S396" s="60"/>
      <c r="T396" s="2"/>
      <c r="U396" s="29"/>
    </row>
    <row r="397" spans="19:21" ht="14.25" customHeight="1" x14ac:dyDescent="0.25">
      <c r="S397" s="60"/>
      <c r="T397" s="2"/>
      <c r="U397" s="29"/>
    </row>
    <row r="398" spans="19:21" ht="14.25" customHeight="1" x14ac:dyDescent="0.25">
      <c r="S398" s="60"/>
      <c r="T398" s="2"/>
      <c r="U398" s="29"/>
    </row>
    <row r="399" spans="19:21" ht="14.25" customHeight="1" x14ac:dyDescent="0.25">
      <c r="S399" s="60"/>
      <c r="T399" s="2"/>
      <c r="U399" s="29"/>
    </row>
    <row r="400" spans="19:21" ht="14.25" customHeight="1" x14ac:dyDescent="0.25">
      <c r="S400" s="60"/>
      <c r="T400" s="2"/>
      <c r="U400" s="29"/>
    </row>
    <row r="401" spans="19:21" ht="14.25" customHeight="1" x14ac:dyDescent="0.25">
      <c r="S401" s="60"/>
      <c r="T401" s="2"/>
      <c r="U401" s="29"/>
    </row>
    <row r="402" spans="19:21" ht="14.25" customHeight="1" x14ac:dyDescent="0.25">
      <c r="S402" s="60"/>
      <c r="T402" s="2"/>
      <c r="U402" s="29"/>
    </row>
    <row r="403" spans="19:21" ht="14.25" customHeight="1" x14ac:dyDescent="0.25">
      <c r="S403" s="60"/>
      <c r="T403" s="2"/>
      <c r="U403" s="29"/>
    </row>
    <row r="404" spans="19:21" ht="14.25" customHeight="1" x14ac:dyDescent="0.25">
      <c r="S404" s="60"/>
      <c r="T404" s="2"/>
      <c r="U404" s="29"/>
    </row>
    <row r="405" spans="19:21" ht="14.25" customHeight="1" x14ac:dyDescent="0.25">
      <c r="S405" s="60"/>
      <c r="T405" s="2"/>
      <c r="U405" s="29"/>
    </row>
    <row r="406" spans="19:21" ht="14.25" customHeight="1" x14ac:dyDescent="0.25">
      <c r="S406" s="60"/>
      <c r="T406" s="2"/>
      <c r="U406" s="29"/>
    </row>
    <row r="407" spans="19:21" ht="14.25" customHeight="1" x14ac:dyDescent="0.25">
      <c r="S407" s="60"/>
      <c r="T407" s="2"/>
      <c r="U407" s="29"/>
    </row>
    <row r="408" spans="19:21" ht="14.25" customHeight="1" x14ac:dyDescent="0.25">
      <c r="S408" s="60"/>
      <c r="T408" s="2"/>
      <c r="U408" s="29"/>
    </row>
    <row r="409" spans="19:21" ht="14.25" customHeight="1" x14ac:dyDescent="0.25">
      <c r="S409" s="60"/>
      <c r="T409" s="2"/>
      <c r="U409" s="29"/>
    </row>
    <row r="410" spans="19:21" ht="14.25" customHeight="1" x14ac:dyDescent="0.25">
      <c r="S410" s="60"/>
      <c r="T410" s="2"/>
      <c r="U410" s="29"/>
    </row>
    <row r="411" spans="19:21" ht="14.25" customHeight="1" x14ac:dyDescent="0.25">
      <c r="S411" s="60"/>
      <c r="T411" s="2"/>
      <c r="U411" s="29"/>
    </row>
    <row r="412" spans="19:21" ht="14.25" customHeight="1" x14ac:dyDescent="0.25">
      <c r="S412" s="60"/>
      <c r="T412" s="2"/>
      <c r="U412" s="29"/>
    </row>
    <row r="413" spans="19:21" ht="14.25" customHeight="1" x14ac:dyDescent="0.25">
      <c r="S413" s="60"/>
      <c r="T413" s="2"/>
      <c r="U413" s="29"/>
    </row>
    <row r="414" spans="19:21" ht="14.25" customHeight="1" x14ac:dyDescent="0.25">
      <c r="S414" s="60"/>
      <c r="T414" s="2"/>
      <c r="U414" s="29"/>
    </row>
    <row r="415" spans="19:21" ht="14.25" customHeight="1" x14ac:dyDescent="0.25">
      <c r="S415" s="60"/>
      <c r="T415" s="2"/>
      <c r="U415" s="29"/>
    </row>
    <row r="416" spans="19:21" ht="14.25" customHeight="1" x14ac:dyDescent="0.25">
      <c r="S416" s="60"/>
      <c r="T416" s="2"/>
      <c r="U416" s="29"/>
    </row>
    <row r="417" spans="19:21" ht="14.25" customHeight="1" x14ac:dyDescent="0.25">
      <c r="S417" s="60"/>
      <c r="T417" s="2"/>
      <c r="U417" s="29"/>
    </row>
    <row r="418" spans="19:21" ht="14.25" customHeight="1" x14ac:dyDescent="0.25">
      <c r="S418" s="60"/>
      <c r="T418" s="2"/>
      <c r="U418" s="29"/>
    </row>
    <row r="419" spans="19:21" ht="14.25" customHeight="1" x14ac:dyDescent="0.25">
      <c r="S419" s="60"/>
      <c r="T419" s="2"/>
      <c r="U419" s="29"/>
    </row>
    <row r="420" spans="19:21" ht="14.25" customHeight="1" x14ac:dyDescent="0.25">
      <c r="S420" s="60"/>
      <c r="T420" s="2"/>
      <c r="U420" s="29"/>
    </row>
    <row r="421" spans="19:21" ht="14.25" customHeight="1" x14ac:dyDescent="0.25">
      <c r="S421" s="60"/>
      <c r="T421" s="2"/>
      <c r="U421" s="29"/>
    </row>
    <row r="422" spans="19:21" ht="14.25" customHeight="1" x14ac:dyDescent="0.25">
      <c r="S422" s="60"/>
      <c r="T422" s="2"/>
      <c r="U422" s="29"/>
    </row>
    <row r="423" spans="19:21" ht="14.25" customHeight="1" x14ac:dyDescent="0.25">
      <c r="S423" s="60"/>
      <c r="T423" s="2"/>
      <c r="U423" s="29"/>
    </row>
    <row r="424" spans="19:21" ht="14.25" customHeight="1" x14ac:dyDescent="0.25">
      <c r="S424" s="60"/>
      <c r="T424" s="2"/>
      <c r="U424" s="29"/>
    </row>
    <row r="425" spans="19:21" ht="14.25" customHeight="1" x14ac:dyDescent="0.25">
      <c r="S425" s="60"/>
      <c r="T425" s="2"/>
      <c r="U425" s="29"/>
    </row>
    <row r="426" spans="19:21" ht="14.25" customHeight="1" x14ac:dyDescent="0.25">
      <c r="S426" s="60"/>
      <c r="T426" s="2"/>
      <c r="U426" s="29"/>
    </row>
    <row r="427" spans="19:21" ht="14.25" customHeight="1" x14ac:dyDescent="0.25">
      <c r="S427" s="60"/>
      <c r="T427" s="2"/>
      <c r="U427" s="29"/>
    </row>
    <row r="428" spans="19:21" ht="14.25" customHeight="1" x14ac:dyDescent="0.25">
      <c r="S428" s="60"/>
      <c r="T428" s="2"/>
      <c r="U428" s="29"/>
    </row>
    <row r="429" spans="19:21" ht="14.25" customHeight="1" x14ac:dyDescent="0.25">
      <c r="S429" s="60"/>
      <c r="T429" s="2"/>
      <c r="U429" s="29"/>
    </row>
    <row r="430" spans="19:21" ht="14.25" customHeight="1" x14ac:dyDescent="0.25">
      <c r="S430" s="60"/>
      <c r="T430" s="2"/>
      <c r="U430" s="29"/>
    </row>
    <row r="431" spans="19:21" ht="14.25" customHeight="1" x14ac:dyDescent="0.25">
      <c r="S431" s="60"/>
      <c r="T431" s="2"/>
      <c r="U431" s="29"/>
    </row>
    <row r="432" spans="19:21" ht="14.25" customHeight="1" x14ac:dyDescent="0.25">
      <c r="S432" s="60"/>
      <c r="T432" s="2"/>
      <c r="U432" s="29"/>
    </row>
    <row r="433" spans="19:21" ht="14.25" customHeight="1" x14ac:dyDescent="0.25">
      <c r="S433" s="60"/>
      <c r="T433" s="2"/>
      <c r="U433" s="29"/>
    </row>
    <row r="434" spans="19:21" ht="14.25" customHeight="1" x14ac:dyDescent="0.25">
      <c r="S434" s="60"/>
      <c r="T434" s="2"/>
      <c r="U434" s="29"/>
    </row>
    <row r="435" spans="19:21" ht="14.25" customHeight="1" x14ac:dyDescent="0.25">
      <c r="S435" s="60"/>
      <c r="T435" s="2"/>
      <c r="U435" s="29"/>
    </row>
    <row r="436" spans="19:21" ht="14.25" customHeight="1" x14ac:dyDescent="0.25">
      <c r="S436" s="60"/>
      <c r="T436" s="2"/>
      <c r="U436" s="29"/>
    </row>
    <row r="437" spans="19:21" ht="14.25" customHeight="1" x14ac:dyDescent="0.25">
      <c r="S437" s="60"/>
      <c r="T437" s="2"/>
      <c r="U437" s="29"/>
    </row>
    <row r="438" spans="19:21" ht="14.25" customHeight="1" x14ac:dyDescent="0.25">
      <c r="S438" s="60"/>
      <c r="T438" s="2"/>
      <c r="U438" s="29"/>
    </row>
    <row r="439" spans="19:21" ht="14.25" customHeight="1" x14ac:dyDescent="0.25">
      <c r="S439" s="60"/>
      <c r="T439" s="2"/>
      <c r="U439" s="29"/>
    </row>
    <row r="440" spans="19:21" ht="14.25" customHeight="1" x14ac:dyDescent="0.25">
      <c r="S440" s="60"/>
      <c r="T440" s="2"/>
      <c r="U440" s="29"/>
    </row>
    <row r="441" spans="19:21" ht="14.25" customHeight="1" x14ac:dyDescent="0.25">
      <c r="S441" s="60"/>
      <c r="T441" s="2"/>
      <c r="U441" s="29"/>
    </row>
    <row r="442" spans="19:21" ht="14.25" customHeight="1" x14ac:dyDescent="0.25">
      <c r="S442" s="60"/>
      <c r="T442" s="2"/>
      <c r="U442" s="29"/>
    </row>
    <row r="443" spans="19:21" ht="14.25" customHeight="1" x14ac:dyDescent="0.25">
      <c r="S443" s="60"/>
      <c r="T443" s="2"/>
      <c r="U443" s="29"/>
    </row>
    <row r="444" spans="19:21" ht="14.25" customHeight="1" x14ac:dyDescent="0.25">
      <c r="S444" s="60"/>
      <c r="T444" s="2"/>
      <c r="U444" s="29"/>
    </row>
    <row r="445" spans="19:21" ht="14.25" customHeight="1" x14ac:dyDescent="0.25">
      <c r="S445" s="60"/>
      <c r="T445" s="2"/>
      <c r="U445" s="29"/>
    </row>
    <row r="446" spans="19:21" ht="14.25" customHeight="1" x14ac:dyDescent="0.25">
      <c r="S446" s="60"/>
      <c r="T446" s="2"/>
      <c r="U446" s="29"/>
    </row>
    <row r="447" spans="19:21" ht="14.25" customHeight="1" x14ac:dyDescent="0.25">
      <c r="S447" s="60"/>
      <c r="T447" s="2"/>
      <c r="U447" s="29"/>
    </row>
    <row r="448" spans="19:21" ht="14.25" customHeight="1" x14ac:dyDescent="0.25">
      <c r="S448" s="60"/>
      <c r="T448" s="2"/>
      <c r="U448" s="29"/>
    </row>
    <row r="449" spans="19:21" ht="14.25" customHeight="1" x14ac:dyDescent="0.25">
      <c r="S449" s="60"/>
      <c r="T449" s="2"/>
      <c r="U449" s="29"/>
    </row>
    <row r="450" spans="19:21" ht="14.25" customHeight="1" x14ac:dyDescent="0.25">
      <c r="S450" s="60"/>
      <c r="T450" s="2"/>
      <c r="U450" s="29"/>
    </row>
    <row r="451" spans="19:21" ht="14.25" customHeight="1" x14ac:dyDescent="0.25">
      <c r="S451" s="60"/>
      <c r="T451" s="2"/>
      <c r="U451" s="29"/>
    </row>
    <row r="452" spans="19:21" ht="14.25" customHeight="1" x14ac:dyDescent="0.25">
      <c r="S452" s="60"/>
      <c r="T452" s="2"/>
      <c r="U452" s="29"/>
    </row>
    <row r="453" spans="19:21" ht="14.25" customHeight="1" x14ac:dyDescent="0.25">
      <c r="S453" s="60"/>
      <c r="T453" s="2"/>
      <c r="U453" s="29"/>
    </row>
    <row r="454" spans="19:21" ht="14.25" customHeight="1" x14ac:dyDescent="0.25">
      <c r="S454" s="60"/>
      <c r="T454" s="2"/>
      <c r="U454" s="29"/>
    </row>
    <row r="455" spans="19:21" ht="14.25" customHeight="1" x14ac:dyDescent="0.25">
      <c r="S455" s="60"/>
      <c r="T455" s="2"/>
      <c r="U455" s="29"/>
    </row>
    <row r="456" spans="19:21" ht="14.25" customHeight="1" x14ac:dyDescent="0.25">
      <c r="S456" s="60"/>
      <c r="T456" s="2"/>
      <c r="U456" s="29"/>
    </row>
    <row r="457" spans="19:21" ht="14.25" customHeight="1" x14ac:dyDescent="0.25">
      <c r="S457" s="60"/>
      <c r="T457" s="2"/>
      <c r="U457" s="29"/>
    </row>
    <row r="458" spans="19:21" ht="14.25" customHeight="1" x14ac:dyDescent="0.25">
      <c r="S458" s="60"/>
      <c r="T458" s="2"/>
      <c r="U458" s="29"/>
    </row>
    <row r="459" spans="19:21" ht="14.25" customHeight="1" x14ac:dyDescent="0.25">
      <c r="S459" s="60"/>
      <c r="T459" s="2"/>
      <c r="U459" s="29"/>
    </row>
    <row r="460" spans="19:21" ht="14.25" customHeight="1" x14ac:dyDescent="0.25">
      <c r="S460" s="60"/>
      <c r="T460" s="2"/>
      <c r="U460" s="29"/>
    </row>
    <row r="461" spans="19:21" ht="14.25" customHeight="1" x14ac:dyDescent="0.25">
      <c r="S461" s="60"/>
      <c r="T461" s="2"/>
      <c r="U461" s="29"/>
    </row>
    <row r="462" spans="19:21" ht="14.25" customHeight="1" x14ac:dyDescent="0.25">
      <c r="S462" s="60"/>
      <c r="T462" s="2"/>
      <c r="U462" s="29"/>
    </row>
    <row r="463" spans="19:21" ht="14.25" customHeight="1" x14ac:dyDescent="0.25">
      <c r="S463" s="60"/>
      <c r="T463" s="2"/>
      <c r="U463" s="29"/>
    </row>
    <row r="464" spans="19:21" ht="14.25" customHeight="1" x14ac:dyDescent="0.25">
      <c r="S464" s="60"/>
      <c r="T464" s="2"/>
      <c r="U464" s="29"/>
    </row>
    <row r="465" spans="19:21" ht="14.25" customHeight="1" x14ac:dyDescent="0.25">
      <c r="S465" s="60"/>
      <c r="T465" s="2"/>
      <c r="U465" s="29"/>
    </row>
    <row r="466" spans="19:21" ht="14.25" customHeight="1" x14ac:dyDescent="0.25">
      <c r="S466" s="60"/>
      <c r="T466" s="2"/>
      <c r="U466" s="29"/>
    </row>
    <row r="467" spans="19:21" ht="14.25" customHeight="1" x14ac:dyDescent="0.25">
      <c r="S467" s="60"/>
      <c r="T467" s="2"/>
      <c r="U467" s="29"/>
    </row>
    <row r="468" spans="19:21" ht="14.25" customHeight="1" x14ac:dyDescent="0.25">
      <c r="S468" s="60"/>
      <c r="T468" s="2"/>
      <c r="U468" s="29"/>
    </row>
    <row r="469" spans="19:21" ht="14.25" customHeight="1" x14ac:dyDescent="0.25">
      <c r="S469" s="60"/>
      <c r="T469" s="2"/>
      <c r="U469" s="29"/>
    </row>
    <row r="470" spans="19:21" ht="14.25" customHeight="1" x14ac:dyDescent="0.25">
      <c r="S470" s="60"/>
      <c r="T470" s="2"/>
      <c r="U470" s="29"/>
    </row>
    <row r="471" spans="19:21" ht="14.25" customHeight="1" x14ac:dyDescent="0.25">
      <c r="S471" s="60"/>
      <c r="T471" s="2"/>
      <c r="U471" s="29"/>
    </row>
    <row r="472" spans="19:21" ht="14.25" customHeight="1" x14ac:dyDescent="0.25">
      <c r="S472" s="60"/>
      <c r="T472" s="2"/>
      <c r="U472" s="29"/>
    </row>
    <row r="473" spans="19:21" ht="14.25" customHeight="1" x14ac:dyDescent="0.25">
      <c r="S473" s="60"/>
      <c r="T473" s="2"/>
      <c r="U473" s="29"/>
    </row>
    <row r="474" spans="19:21" ht="14.25" customHeight="1" x14ac:dyDescent="0.25">
      <c r="S474" s="60"/>
      <c r="T474" s="2"/>
      <c r="U474" s="29"/>
    </row>
    <row r="475" spans="19:21" ht="14.25" customHeight="1" x14ac:dyDescent="0.25">
      <c r="S475" s="60"/>
      <c r="T475" s="2"/>
      <c r="U475" s="29"/>
    </row>
    <row r="476" spans="19:21" ht="14.25" customHeight="1" x14ac:dyDescent="0.25">
      <c r="S476" s="60"/>
      <c r="T476" s="2"/>
      <c r="U476" s="29"/>
    </row>
    <row r="477" spans="19:21" ht="14.25" customHeight="1" x14ac:dyDescent="0.25">
      <c r="S477" s="60"/>
      <c r="T477" s="2"/>
      <c r="U477" s="29"/>
    </row>
    <row r="478" spans="19:21" ht="14.25" customHeight="1" x14ac:dyDescent="0.25">
      <c r="S478" s="60"/>
      <c r="T478" s="2"/>
      <c r="U478" s="29"/>
    </row>
    <row r="479" spans="19:21" ht="14.25" customHeight="1" x14ac:dyDescent="0.25">
      <c r="S479" s="60"/>
      <c r="T479" s="2"/>
      <c r="U479" s="29"/>
    </row>
    <row r="480" spans="19:21" ht="14.25" customHeight="1" x14ac:dyDescent="0.25">
      <c r="S480" s="60"/>
      <c r="T480" s="2"/>
      <c r="U480" s="29"/>
    </row>
    <row r="481" spans="19:21" ht="14.25" customHeight="1" x14ac:dyDescent="0.25">
      <c r="S481" s="60"/>
      <c r="T481" s="2"/>
      <c r="U481" s="29"/>
    </row>
    <row r="482" spans="19:21" ht="14.25" customHeight="1" x14ac:dyDescent="0.25">
      <c r="S482" s="60"/>
      <c r="T482" s="2"/>
      <c r="U482" s="29"/>
    </row>
    <row r="483" spans="19:21" ht="14.25" customHeight="1" x14ac:dyDescent="0.25">
      <c r="S483" s="60"/>
      <c r="T483" s="2"/>
      <c r="U483" s="29"/>
    </row>
    <row r="484" spans="19:21" ht="14.25" customHeight="1" x14ac:dyDescent="0.25">
      <c r="S484" s="60"/>
      <c r="T484" s="2"/>
      <c r="U484" s="29"/>
    </row>
    <row r="485" spans="19:21" ht="14.25" customHeight="1" x14ac:dyDescent="0.25">
      <c r="S485" s="60"/>
      <c r="T485" s="2"/>
      <c r="U485" s="29"/>
    </row>
    <row r="486" spans="19:21" ht="14.25" customHeight="1" x14ac:dyDescent="0.25">
      <c r="S486" s="60"/>
      <c r="T486" s="2"/>
      <c r="U486" s="29"/>
    </row>
    <row r="487" spans="19:21" ht="14.25" customHeight="1" x14ac:dyDescent="0.25">
      <c r="S487" s="60"/>
      <c r="T487" s="2"/>
      <c r="U487" s="29"/>
    </row>
    <row r="488" spans="19:21" ht="14.25" customHeight="1" x14ac:dyDescent="0.25">
      <c r="S488" s="60"/>
      <c r="T488" s="2"/>
      <c r="U488" s="29"/>
    </row>
    <row r="489" spans="19:21" ht="14.25" customHeight="1" x14ac:dyDescent="0.25">
      <c r="S489" s="60"/>
      <c r="T489" s="2"/>
      <c r="U489" s="29"/>
    </row>
    <row r="490" spans="19:21" ht="14.25" customHeight="1" x14ac:dyDescent="0.25">
      <c r="S490" s="60"/>
      <c r="T490" s="2"/>
      <c r="U490" s="29"/>
    </row>
    <row r="491" spans="19:21" ht="14.25" customHeight="1" x14ac:dyDescent="0.25">
      <c r="S491" s="60"/>
      <c r="T491" s="2"/>
      <c r="U491" s="29"/>
    </row>
    <row r="492" spans="19:21" ht="14.25" customHeight="1" x14ac:dyDescent="0.25">
      <c r="S492" s="60"/>
      <c r="T492" s="2"/>
      <c r="U492" s="29"/>
    </row>
    <row r="493" spans="19:21" ht="14.25" customHeight="1" x14ac:dyDescent="0.25">
      <c r="S493" s="60"/>
      <c r="T493" s="2"/>
      <c r="U493" s="29"/>
    </row>
    <row r="494" spans="19:21" ht="14.25" customHeight="1" x14ac:dyDescent="0.25">
      <c r="S494" s="60"/>
      <c r="T494" s="2"/>
      <c r="U494" s="29"/>
    </row>
    <row r="495" spans="19:21" ht="14.25" customHeight="1" x14ac:dyDescent="0.25">
      <c r="S495" s="60"/>
      <c r="T495" s="2"/>
      <c r="U495" s="29"/>
    </row>
    <row r="496" spans="19:21" ht="14.25" customHeight="1" x14ac:dyDescent="0.25">
      <c r="S496" s="60"/>
      <c r="T496" s="2"/>
      <c r="U496" s="29"/>
    </row>
    <row r="497" spans="19:21" ht="14.25" customHeight="1" x14ac:dyDescent="0.25">
      <c r="S497" s="60"/>
      <c r="T497" s="2"/>
      <c r="U497" s="29"/>
    </row>
    <row r="498" spans="19:21" ht="14.25" customHeight="1" x14ac:dyDescent="0.25">
      <c r="S498" s="60"/>
      <c r="T498" s="2"/>
      <c r="U498" s="29"/>
    </row>
    <row r="499" spans="19:21" ht="14.25" customHeight="1" x14ac:dyDescent="0.25">
      <c r="S499" s="60"/>
      <c r="T499" s="2"/>
      <c r="U499" s="29"/>
    </row>
    <row r="500" spans="19:21" ht="14.25" customHeight="1" x14ac:dyDescent="0.25">
      <c r="S500" s="60"/>
      <c r="T500" s="2"/>
      <c r="U500" s="29"/>
    </row>
    <row r="501" spans="19:21" ht="14.25" customHeight="1" x14ac:dyDescent="0.25">
      <c r="S501" s="60"/>
      <c r="T501" s="2"/>
      <c r="U501" s="29"/>
    </row>
    <row r="502" spans="19:21" ht="14.25" customHeight="1" x14ac:dyDescent="0.25">
      <c r="S502" s="60"/>
      <c r="T502" s="2"/>
      <c r="U502" s="29"/>
    </row>
    <row r="503" spans="19:21" ht="14.25" customHeight="1" x14ac:dyDescent="0.25">
      <c r="S503" s="60"/>
      <c r="T503" s="2"/>
      <c r="U503" s="29"/>
    </row>
    <row r="504" spans="19:21" ht="14.25" customHeight="1" x14ac:dyDescent="0.25">
      <c r="S504" s="60"/>
      <c r="T504" s="2"/>
      <c r="U504" s="29"/>
    </row>
    <row r="505" spans="19:21" ht="14.25" customHeight="1" x14ac:dyDescent="0.25">
      <c r="S505" s="60"/>
      <c r="T505" s="2"/>
      <c r="U505" s="29"/>
    </row>
    <row r="506" spans="19:21" ht="14.25" customHeight="1" x14ac:dyDescent="0.25">
      <c r="S506" s="60"/>
      <c r="T506" s="2"/>
      <c r="U506" s="29"/>
    </row>
    <row r="507" spans="19:21" ht="14.25" customHeight="1" x14ac:dyDescent="0.25">
      <c r="S507" s="60"/>
      <c r="T507" s="2"/>
      <c r="U507" s="29"/>
    </row>
    <row r="508" spans="19:21" ht="14.25" customHeight="1" x14ac:dyDescent="0.25">
      <c r="S508" s="60"/>
      <c r="T508" s="2"/>
      <c r="U508" s="29"/>
    </row>
    <row r="509" spans="19:21" ht="14.25" customHeight="1" x14ac:dyDescent="0.25">
      <c r="S509" s="60"/>
      <c r="T509" s="2"/>
      <c r="U509" s="29"/>
    </row>
    <row r="510" spans="19:21" ht="14.25" customHeight="1" x14ac:dyDescent="0.25">
      <c r="S510" s="60"/>
      <c r="T510" s="2"/>
      <c r="U510" s="29"/>
    </row>
    <row r="511" spans="19:21" ht="14.25" customHeight="1" x14ac:dyDescent="0.25">
      <c r="S511" s="60"/>
      <c r="T511" s="2"/>
      <c r="U511" s="29"/>
    </row>
    <row r="512" spans="19:21" ht="14.25" customHeight="1" x14ac:dyDescent="0.25">
      <c r="S512" s="60"/>
      <c r="T512" s="2"/>
      <c r="U512" s="29"/>
    </row>
    <row r="513" spans="19:21" ht="14.25" customHeight="1" x14ac:dyDescent="0.25">
      <c r="S513" s="60"/>
      <c r="T513" s="2"/>
      <c r="U513" s="29"/>
    </row>
    <row r="514" spans="19:21" ht="14.25" customHeight="1" x14ac:dyDescent="0.25">
      <c r="S514" s="60"/>
      <c r="T514" s="2"/>
      <c r="U514" s="29"/>
    </row>
    <row r="515" spans="19:21" ht="14.25" customHeight="1" x14ac:dyDescent="0.25">
      <c r="S515" s="60"/>
      <c r="T515" s="2"/>
      <c r="U515" s="29"/>
    </row>
    <row r="516" spans="19:21" ht="14.25" customHeight="1" x14ac:dyDescent="0.25">
      <c r="S516" s="60"/>
      <c r="T516" s="2"/>
      <c r="U516" s="29"/>
    </row>
    <row r="517" spans="19:21" ht="14.25" customHeight="1" x14ac:dyDescent="0.25">
      <c r="S517" s="60"/>
      <c r="T517" s="2"/>
      <c r="U517" s="29"/>
    </row>
    <row r="518" spans="19:21" ht="14.25" customHeight="1" x14ac:dyDescent="0.25">
      <c r="S518" s="60"/>
      <c r="T518" s="2"/>
      <c r="U518" s="29"/>
    </row>
    <row r="519" spans="19:21" ht="14.25" customHeight="1" x14ac:dyDescent="0.25">
      <c r="S519" s="60"/>
      <c r="T519" s="2"/>
      <c r="U519" s="29"/>
    </row>
    <row r="520" spans="19:21" ht="14.25" customHeight="1" x14ac:dyDescent="0.25">
      <c r="S520" s="60"/>
      <c r="T520" s="2"/>
      <c r="U520" s="29"/>
    </row>
    <row r="521" spans="19:21" ht="14.25" customHeight="1" x14ac:dyDescent="0.25">
      <c r="S521" s="60"/>
      <c r="T521" s="2"/>
      <c r="U521" s="29"/>
    </row>
    <row r="522" spans="19:21" ht="14.25" customHeight="1" x14ac:dyDescent="0.25">
      <c r="S522" s="60"/>
      <c r="T522" s="2"/>
      <c r="U522" s="29"/>
    </row>
    <row r="523" spans="19:21" ht="14.25" customHeight="1" x14ac:dyDescent="0.25">
      <c r="S523" s="60"/>
      <c r="T523" s="2"/>
      <c r="U523" s="29"/>
    </row>
    <row r="524" spans="19:21" ht="14.25" customHeight="1" x14ac:dyDescent="0.25">
      <c r="S524" s="60"/>
      <c r="T524" s="2"/>
      <c r="U524" s="29"/>
    </row>
    <row r="525" spans="19:21" ht="14.25" customHeight="1" x14ac:dyDescent="0.25">
      <c r="S525" s="60"/>
      <c r="T525" s="2"/>
      <c r="U525" s="29"/>
    </row>
    <row r="526" spans="19:21" ht="14.25" customHeight="1" x14ac:dyDescent="0.25">
      <c r="S526" s="60"/>
      <c r="T526" s="2"/>
      <c r="U526" s="29"/>
    </row>
    <row r="527" spans="19:21" ht="14.25" customHeight="1" x14ac:dyDescent="0.25">
      <c r="S527" s="60"/>
      <c r="T527" s="2"/>
      <c r="U527" s="29"/>
    </row>
    <row r="528" spans="19:21" ht="14.25" customHeight="1" x14ac:dyDescent="0.25">
      <c r="S528" s="60"/>
      <c r="T528" s="2"/>
      <c r="U528" s="29"/>
    </row>
    <row r="529" spans="19:21" ht="14.25" customHeight="1" x14ac:dyDescent="0.25">
      <c r="S529" s="60"/>
      <c r="T529" s="2"/>
      <c r="U529" s="29"/>
    </row>
    <row r="530" spans="19:21" ht="14.25" customHeight="1" x14ac:dyDescent="0.25">
      <c r="S530" s="60"/>
      <c r="T530" s="2"/>
      <c r="U530" s="29"/>
    </row>
    <row r="531" spans="19:21" ht="14.25" customHeight="1" x14ac:dyDescent="0.25">
      <c r="S531" s="60"/>
      <c r="T531" s="2"/>
      <c r="U531" s="29"/>
    </row>
    <row r="532" spans="19:21" ht="14.25" customHeight="1" x14ac:dyDescent="0.25">
      <c r="S532" s="60"/>
      <c r="T532" s="2"/>
      <c r="U532" s="29"/>
    </row>
    <row r="533" spans="19:21" ht="14.25" customHeight="1" x14ac:dyDescent="0.25">
      <c r="S533" s="60"/>
      <c r="T533" s="2"/>
      <c r="U533" s="29"/>
    </row>
    <row r="534" spans="19:21" ht="14.25" customHeight="1" x14ac:dyDescent="0.25">
      <c r="S534" s="60"/>
      <c r="T534" s="2"/>
      <c r="U534" s="29"/>
    </row>
    <row r="535" spans="19:21" ht="14.25" customHeight="1" x14ac:dyDescent="0.25">
      <c r="S535" s="60"/>
      <c r="T535" s="2"/>
      <c r="U535" s="29"/>
    </row>
    <row r="536" spans="19:21" ht="14.25" customHeight="1" x14ac:dyDescent="0.25">
      <c r="S536" s="60"/>
      <c r="T536" s="2"/>
      <c r="U536" s="29"/>
    </row>
    <row r="537" spans="19:21" ht="14.25" customHeight="1" x14ac:dyDescent="0.25">
      <c r="S537" s="60"/>
      <c r="T537" s="2"/>
      <c r="U537" s="29"/>
    </row>
    <row r="538" spans="19:21" ht="14.25" customHeight="1" x14ac:dyDescent="0.25">
      <c r="S538" s="60"/>
      <c r="T538" s="2"/>
      <c r="U538" s="29"/>
    </row>
    <row r="539" spans="19:21" ht="14.25" customHeight="1" x14ac:dyDescent="0.25">
      <c r="S539" s="60"/>
      <c r="T539" s="2"/>
      <c r="U539" s="29"/>
    </row>
    <row r="540" spans="19:21" ht="14.25" customHeight="1" x14ac:dyDescent="0.25">
      <c r="S540" s="60"/>
      <c r="T540" s="2"/>
      <c r="U540" s="29"/>
    </row>
    <row r="541" spans="19:21" ht="14.25" customHeight="1" x14ac:dyDescent="0.25">
      <c r="S541" s="60"/>
      <c r="T541" s="2"/>
      <c r="U541" s="29"/>
    </row>
    <row r="542" spans="19:21" ht="14.25" customHeight="1" x14ac:dyDescent="0.25">
      <c r="S542" s="60"/>
      <c r="T542" s="2"/>
      <c r="U542" s="29"/>
    </row>
    <row r="543" spans="19:21" ht="14.25" customHeight="1" x14ac:dyDescent="0.25">
      <c r="S543" s="60"/>
      <c r="T543" s="2"/>
      <c r="U543" s="29"/>
    </row>
    <row r="544" spans="19:21" ht="14.25" customHeight="1" x14ac:dyDescent="0.25">
      <c r="S544" s="60"/>
      <c r="T544" s="2"/>
      <c r="U544" s="29"/>
    </row>
    <row r="545" spans="19:21" ht="14.25" customHeight="1" x14ac:dyDescent="0.25">
      <c r="S545" s="60"/>
      <c r="T545" s="2"/>
      <c r="U545" s="29"/>
    </row>
    <row r="546" spans="19:21" ht="14.25" customHeight="1" x14ac:dyDescent="0.25">
      <c r="S546" s="60"/>
      <c r="T546" s="2"/>
      <c r="U546" s="29"/>
    </row>
    <row r="547" spans="19:21" ht="14.25" customHeight="1" x14ac:dyDescent="0.25">
      <c r="S547" s="60"/>
      <c r="T547" s="2"/>
      <c r="U547" s="29"/>
    </row>
    <row r="548" spans="19:21" ht="14.25" customHeight="1" x14ac:dyDescent="0.25">
      <c r="S548" s="60"/>
      <c r="T548" s="2"/>
      <c r="U548" s="29"/>
    </row>
    <row r="549" spans="19:21" ht="14.25" customHeight="1" x14ac:dyDescent="0.25">
      <c r="S549" s="60"/>
      <c r="T549" s="2"/>
      <c r="U549" s="29"/>
    </row>
    <row r="550" spans="19:21" ht="14.25" customHeight="1" x14ac:dyDescent="0.25">
      <c r="S550" s="60"/>
      <c r="T550" s="2"/>
      <c r="U550" s="29"/>
    </row>
    <row r="551" spans="19:21" ht="14.25" customHeight="1" x14ac:dyDescent="0.25">
      <c r="S551" s="60"/>
      <c r="T551" s="2"/>
      <c r="U551" s="29"/>
    </row>
    <row r="552" spans="19:21" ht="14.25" customHeight="1" x14ac:dyDescent="0.25">
      <c r="S552" s="60"/>
      <c r="T552" s="2"/>
      <c r="U552" s="29"/>
    </row>
    <row r="553" spans="19:21" ht="14.25" customHeight="1" x14ac:dyDescent="0.25">
      <c r="S553" s="60"/>
      <c r="T553" s="2"/>
      <c r="U553" s="29"/>
    </row>
    <row r="554" spans="19:21" ht="14.25" customHeight="1" x14ac:dyDescent="0.25">
      <c r="S554" s="60"/>
      <c r="T554" s="2"/>
      <c r="U554" s="29"/>
    </row>
    <row r="555" spans="19:21" ht="14.25" customHeight="1" x14ac:dyDescent="0.25">
      <c r="S555" s="60"/>
      <c r="T555" s="2"/>
      <c r="U555" s="29"/>
    </row>
    <row r="556" spans="19:21" ht="14.25" customHeight="1" x14ac:dyDescent="0.25">
      <c r="S556" s="60"/>
      <c r="T556" s="2"/>
      <c r="U556" s="29"/>
    </row>
    <row r="557" spans="19:21" ht="14.25" customHeight="1" x14ac:dyDescent="0.25">
      <c r="S557" s="60"/>
      <c r="T557" s="2"/>
      <c r="U557" s="29"/>
    </row>
    <row r="558" spans="19:21" ht="14.25" customHeight="1" x14ac:dyDescent="0.25">
      <c r="S558" s="60"/>
      <c r="T558" s="2"/>
      <c r="U558" s="29"/>
    </row>
    <row r="559" spans="19:21" ht="14.25" customHeight="1" x14ac:dyDescent="0.25">
      <c r="S559" s="60"/>
      <c r="T559" s="2"/>
      <c r="U559" s="29"/>
    </row>
    <row r="560" spans="19:21" ht="14.25" customHeight="1" x14ac:dyDescent="0.25">
      <c r="S560" s="60"/>
      <c r="T560" s="2"/>
      <c r="U560" s="29"/>
    </row>
    <row r="561" spans="19:21" ht="14.25" customHeight="1" x14ac:dyDescent="0.25">
      <c r="S561" s="60"/>
      <c r="T561" s="2"/>
      <c r="U561" s="29"/>
    </row>
    <row r="562" spans="19:21" ht="14.25" customHeight="1" x14ac:dyDescent="0.25">
      <c r="S562" s="60"/>
      <c r="T562" s="2"/>
      <c r="U562" s="29"/>
    </row>
    <row r="563" spans="19:21" ht="14.25" customHeight="1" x14ac:dyDescent="0.25">
      <c r="S563" s="60"/>
      <c r="T563" s="2"/>
      <c r="U563" s="29"/>
    </row>
    <row r="564" spans="19:21" ht="14.25" customHeight="1" x14ac:dyDescent="0.25">
      <c r="S564" s="60"/>
      <c r="T564" s="2"/>
      <c r="U564" s="29"/>
    </row>
    <row r="565" spans="19:21" ht="14.25" customHeight="1" x14ac:dyDescent="0.25">
      <c r="S565" s="60"/>
      <c r="T565" s="2"/>
      <c r="U565" s="29"/>
    </row>
    <row r="566" spans="19:21" ht="14.25" customHeight="1" x14ac:dyDescent="0.25">
      <c r="S566" s="60"/>
      <c r="T566" s="2"/>
      <c r="U566" s="29"/>
    </row>
    <row r="567" spans="19:21" ht="14.25" customHeight="1" x14ac:dyDescent="0.25">
      <c r="S567" s="60"/>
      <c r="T567" s="2"/>
      <c r="U567" s="29"/>
    </row>
    <row r="568" spans="19:21" ht="14.25" customHeight="1" x14ac:dyDescent="0.25">
      <c r="S568" s="60"/>
      <c r="T568" s="2"/>
      <c r="U568" s="29"/>
    </row>
    <row r="569" spans="19:21" ht="14.25" customHeight="1" x14ac:dyDescent="0.25">
      <c r="S569" s="60"/>
      <c r="T569" s="2"/>
      <c r="U569" s="29"/>
    </row>
    <row r="570" spans="19:21" ht="14.25" customHeight="1" x14ac:dyDescent="0.25">
      <c r="S570" s="60"/>
      <c r="T570" s="2"/>
      <c r="U570" s="29"/>
    </row>
    <row r="571" spans="19:21" ht="14.25" customHeight="1" x14ac:dyDescent="0.25">
      <c r="S571" s="60"/>
      <c r="T571" s="2"/>
      <c r="U571" s="29"/>
    </row>
    <row r="572" spans="19:21" ht="14.25" customHeight="1" x14ac:dyDescent="0.25">
      <c r="S572" s="60"/>
      <c r="T572" s="2"/>
      <c r="U572" s="29"/>
    </row>
    <row r="573" spans="19:21" ht="14.25" customHeight="1" x14ac:dyDescent="0.25">
      <c r="S573" s="60"/>
      <c r="T573" s="2"/>
      <c r="U573" s="29"/>
    </row>
    <row r="574" spans="19:21" ht="14.25" customHeight="1" x14ac:dyDescent="0.25">
      <c r="S574" s="60"/>
      <c r="T574" s="2"/>
      <c r="U574" s="29"/>
    </row>
    <row r="575" spans="19:21" ht="14.25" customHeight="1" x14ac:dyDescent="0.25">
      <c r="S575" s="60"/>
      <c r="T575" s="2"/>
      <c r="U575" s="29"/>
    </row>
    <row r="576" spans="19:21" ht="14.25" customHeight="1" x14ac:dyDescent="0.25">
      <c r="S576" s="60"/>
      <c r="T576" s="2"/>
      <c r="U576" s="29"/>
    </row>
    <row r="577" spans="19:21" ht="14.25" customHeight="1" x14ac:dyDescent="0.25">
      <c r="S577" s="60"/>
      <c r="T577" s="2"/>
      <c r="U577" s="29"/>
    </row>
    <row r="578" spans="19:21" ht="14.25" customHeight="1" x14ac:dyDescent="0.25">
      <c r="S578" s="60"/>
      <c r="T578" s="2"/>
      <c r="U578" s="29"/>
    </row>
    <row r="579" spans="19:21" ht="14.25" customHeight="1" x14ac:dyDescent="0.25">
      <c r="S579" s="60"/>
      <c r="T579" s="2"/>
      <c r="U579" s="29"/>
    </row>
    <row r="580" spans="19:21" ht="14.25" customHeight="1" x14ac:dyDescent="0.25">
      <c r="S580" s="60"/>
      <c r="T580" s="2"/>
      <c r="U580" s="29"/>
    </row>
    <row r="581" spans="19:21" ht="14.25" customHeight="1" x14ac:dyDescent="0.25">
      <c r="S581" s="60"/>
      <c r="T581" s="2"/>
      <c r="U581" s="29"/>
    </row>
    <row r="582" spans="19:21" ht="14.25" customHeight="1" x14ac:dyDescent="0.25">
      <c r="S582" s="60"/>
      <c r="T582" s="2"/>
      <c r="U582" s="29"/>
    </row>
    <row r="583" spans="19:21" ht="14.25" customHeight="1" x14ac:dyDescent="0.25">
      <c r="S583" s="60"/>
      <c r="T583" s="2"/>
      <c r="U583" s="29"/>
    </row>
    <row r="584" spans="19:21" ht="14.25" customHeight="1" x14ac:dyDescent="0.25">
      <c r="S584" s="60"/>
      <c r="T584" s="2"/>
      <c r="U584" s="29"/>
    </row>
    <row r="585" spans="19:21" ht="14.25" customHeight="1" x14ac:dyDescent="0.25">
      <c r="S585" s="60"/>
      <c r="T585" s="2"/>
      <c r="U585" s="29"/>
    </row>
    <row r="586" spans="19:21" ht="14.25" customHeight="1" x14ac:dyDescent="0.25">
      <c r="S586" s="60"/>
      <c r="T586" s="2"/>
      <c r="U586" s="29"/>
    </row>
    <row r="587" spans="19:21" ht="14.25" customHeight="1" x14ac:dyDescent="0.25">
      <c r="S587" s="60"/>
      <c r="T587" s="2"/>
      <c r="U587" s="29"/>
    </row>
    <row r="588" spans="19:21" ht="14.25" customHeight="1" x14ac:dyDescent="0.25">
      <c r="S588" s="60"/>
      <c r="T588" s="2"/>
      <c r="U588" s="29"/>
    </row>
    <row r="589" spans="19:21" ht="14.25" customHeight="1" x14ac:dyDescent="0.25">
      <c r="S589" s="60"/>
      <c r="T589" s="2"/>
      <c r="U589" s="29"/>
    </row>
    <row r="590" spans="19:21" ht="14.25" customHeight="1" x14ac:dyDescent="0.25">
      <c r="S590" s="60"/>
      <c r="T590" s="2"/>
      <c r="U590" s="29"/>
    </row>
    <row r="591" spans="19:21" ht="14.25" customHeight="1" x14ac:dyDescent="0.25">
      <c r="S591" s="60"/>
      <c r="T591" s="2"/>
      <c r="U591" s="29"/>
    </row>
    <row r="592" spans="19:21" ht="14.25" customHeight="1" x14ac:dyDescent="0.25">
      <c r="S592" s="60"/>
      <c r="T592" s="2"/>
      <c r="U592" s="29"/>
    </row>
    <row r="593" spans="19:21" ht="14.25" customHeight="1" x14ac:dyDescent="0.25">
      <c r="S593" s="60"/>
      <c r="T593" s="2"/>
      <c r="U593" s="29"/>
    </row>
    <row r="594" spans="19:21" ht="14.25" customHeight="1" x14ac:dyDescent="0.25">
      <c r="S594" s="60"/>
      <c r="T594" s="2"/>
      <c r="U594" s="29"/>
    </row>
    <row r="595" spans="19:21" ht="14.25" customHeight="1" x14ac:dyDescent="0.25">
      <c r="S595" s="60"/>
      <c r="T595" s="2"/>
      <c r="U595" s="29"/>
    </row>
    <row r="596" spans="19:21" ht="14.25" customHeight="1" x14ac:dyDescent="0.25">
      <c r="S596" s="60"/>
      <c r="T596" s="2"/>
      <c r="U596" s="29"/>
    </row>
    <row r="597" spans="19:21" ht="14.25" customHeight="1" x14ac:dyDescent="0.25">
      <c r="S597" s="60"/>
      <c r="T597" s="2"/>
      <c r="U597" s="29"/>
    </row>
    <row r="598" spans="19:21" ht="14.25" customHeight="1" x14ac:dyDescent="0.25">
      <c r="S598" s="60"/>
      <c r="T598" s="2"/>
      <c r="U598" s="29"/>
    </row>
    <row r="599" spans="19:21" ht="14.25" customHeight="1" x14ac:dyDescent="0.25">
      <c r="S599" s="60"/>
      <c r="T599" s="2"/>
      <c r="U599" s="29"/>
    </row>
    <row r="600" spans="19:21" ht="14.25" customHeight="1" x14ac:dyDescent="0.25">
      <c r="S600" s="60"/>
      <c r="T600" s="2"/>
      <c r="U600" s="29"/>
    </row>
    <row r="601" spans="19:21" ht="14.25" customHeight="1" x14ac:dyDescent="0.25">
      <c r="S601" s="60"/>
      <c r="T601" s="2"/>
      <c r="U601" s="29"/>
    </row>
    <row r="602" spans="19:21" ht="14.25" customHeight="1" x14ac:dyDescent="0.25">
      <c r="S602" s="60"/>
      <c r="T602" s="2"/>
      <c r="U602" s="29"/>
    </row>
    <row r="603" spans="19:21" ht="14.25" customHeight="1" x14ac:dyDescent="0.25">
      <c r="S603" s="60"/>
      <c r="T603" s="2"/>
      <c r="U603" s="29"/>
    </row>
    <row r="604" spans="19:21" ht="14.25" customHeight="1" x14ac:dyDescent="0.25">
      <c r="S604" s="60"/>
      <c r="T604" s="2"/>
      <c r="U604" s="29"/>
    </row>
    <row r="605" spans="19:21" ht="14.25" customHeight="1" x14ac:dyDescent="0.25">
      <c r="S605" s="60"/>
      <c r="T605" s="2"/>
      <c r="U605" s="29"/>
    </row>
    <row r="606" spans="19:21" ht="14.25" customHeight="1" x14ac:dyDescent="0.25">
      <c r="S606" s="60"/>
      <c r="T606" s="2"/>
      <c r="U606" s="29"/>
    </row>
    <row r="607" spans="19:21" ht="14.25" customHeight="1" x14ac:dyDescent="0.25">
      <c r="S607" s="60"/>
      <c r="T607" s="2"/>
      <c r="U607" s="29"/>
    </row>
    <row r="608" spans="19:21" ht="14.25" customHeight="1" x14ac:dyDescent="0.25">
      <c r="S608" s="60"/>
      <c r="T608" s="2"/>
      <c r="U608" s="29"/>
    </row>
    <row r="609" spans="19:21" ht="14.25" customHeight="1" x14ac:dyDescent="0.25">
      <c r="S609" s="60"/>
      <c r="T609" s="2"/>
      <c r="U609" s="29"/>
    </row>
    <row r="610" spans="19:21" ht="14.25" customHeight="1" x14ac:dyDescent="0.25">
      <c r="S610" s="60"/>
      <c r="T610" s="2"/>
      <c r="U610" s="29"/>
    </row>
    <row r="611" spans="19:21" ht="14.25" customHeight="1" x14ac:dyDescent="0.25">
      <c r="S611" s="60"/>
      <c r="T611" s="2"/>
      <c r="U611" s="29"/>
    </row>
    <row r="612" spans="19:21" ht="14.25" customHeight="1" x14ac:dyDescent="0.25">
      <c r="S612" s="60"/>
      <c r="T612" s="2"/>
      <c r="U612" s="29"/>
    </row>
    <row r="613" spans="19:21" ht="14.25" customHeight="1" x14ac:dyDescent="0.25">
      <c r="S613" s="60"/>
      <c r="T613" s="2"/>
      <c r="U613" s="29"/>
    </row>
    <row r="614" spans="19:21" ht="14.25" customHeight="1" x14ac:dyDescent="0.25">
      <c r="S614" s="60"/>
      <c r="T614" s="2"/>
      <c r="U614" s="29"/>
    </row>
    <row r="615" spans="19:21" ht="14.25" customHeight="1" x14ac:dyDescent="0.25">
      <c r="S615" s="60"/>
      <c r="T615" s="2"/>
      <c r="U615" s="29"/>
    </row>
    <row r="616" spans="19:21" ht="14.25" customHeight="1" x14ac:dyDescent="0.25">
      <c r="S616" s="60"/>
      <c r="T616" s="2"/>
      <c r="U616" s="29"/>
    </row>
    <row r="617" spans="19:21" ht="14.25" customHeight="1" x14ac:dyDescent="0.25">
      <c r="S617" s="60"/>
      <c r="T617" s="2"/>
      <c r="U617" s="29"/>
    </row>
    <row r="618" spans="19:21" ht="14.25" customHeight="1" x14ac:dyDescent="0.25">
      <c r="S618" s="60"/>
      <c r="T618" s="2"/>
      <c r="U618" s="29"/>
    </row>
    <row r="619" spans="19:21" ht="14.25" customHeight="1" x14ac:dyDescent="0.25">
      <c r="S619" s="60"/>
      <c r="T619" s="2"/>
      <c r="U619" s="29"/>
    </row>
    <row r="620" spans="19:21" ht="14.25" customHeight="1" x14ac:dyDescent="0.25">
      <c r="S620" s="60"/>
      <c r="T620" s="2"/>
      <c r="U620" s="29"/>
    </row>
    <row r="621" spans="19:21" ht="14.25" customHeight="1" x14ac:dyDescent="0.25">
      <c r="S621" s="60"/>
      <c r="T621" s="2"/>
      <c r="U621" s="29"/>
    </row>
    <row r="622" spans="19:21" ht="14.25" customHeight="1" x14ac:dyDescent="0.25">
      <c r="S622" s="60"/>
      <c r="T622" s="2"/>
      <c r="U622" s="29"/>
    </row>
    <row r="623" spans="19:21" ht="14.25" customHeight="1" x14ac:dyDescent="0.25">
      <c r="S623" s="60"/>
      <c r="T623" s="2"/>
      <c r="U623" s="29"/>
    </row>
    <row r="624" spans="19:21" ht="14.25" customHeight="1" x14ac:dyDescent="0.25">
      <c r="S624" s="60"/>
      <c r="T624" s="2"/>
      <c r="U624" s="29"/>
    </row>
    <row r="625" spans="19:21" ht="14.25" customHeight="1" x14ac:dyDescent="0.25">
      <c r="S625" s="60"/>
      <c r="T625" s="2"/>
      <c r="U625" s="29"/>
    </row>
    <row r="626" spans="19:21" ht="14.25" customHeight="1" x14ac:dyDescent="0.25">
      <c r="S626" s="60"/>
      <c r="T626" s="2"/>
      <c r="U626" s="29"/>
    </row>
    <row r="627" spans="19:21" ht="14.25" customHeight="1" x14ac:dyDescent="0.25">
      <c r="S627" s="60"/>
      <c r="T627" s="2"/>
      <c r="U627" s="29"/>
    </row>
    <row r="628" spans="19:21" ht="14.25" customHeight="1" x14ac:dyDescent="0.25">
      <c r="S628" s="60"/>
      <c r="T628" s="2"/>
      <c r="U628" s="29"/>
    </row>
    <row r="629" spans="19:21" ht="14.25" customHeight="1" x14ac:dyDescent="0.25">
      <c r="S629" s="60"/>
      <c r="T629" s="2"/>
      <c r="U629" s="29"/>
    </row>
    <row r="630" spans="19:21" ht="14.25" customHeight="1" x14ac:dyDescent="0.25">
      <c r="S630" s="60"/>
      <c r="T630" s="2"/>
      <c r="U630" s="29"/>
    </row>
    <row r="631" spans="19:21" ht="14.25" customHeight="1" x14ac:dyDescent="0.25">
      <c r="S631" s="60"/>
      <c r="T631" s="2"/>
      <c r="U631" s="29"/>
    </row>
    <row r="632" spans="19:21" ht="14.25" customHeight="1" x14ac:dyDescent="0.25">
      <c r="S632" s="60"/>
      <c r="T632" s="2"/>
      <c r="U632" s="29"/>
    </row>
    <row r="633" spans="19:21" ht="14.25" customHeight="1" x14ac:dyDescent="0.25">
      <c r="S633" s="60"/>
      <c r="T633" s="2"/>
      <c r="U633" s="29"/>
    </row>
    <row r="634" spans="19:21" ht="14.25" customHeight="1" x14ac:dyDescent="0.25">
      <c r="S634" s="60"/>
      <c r="T634" s="2"/>
      <c r="U634" s="29"/>
    </row>
    <row r="635" spans="19:21" ht="14.25" customHeight="1" x14ac:dyDescent="0.25">
      <c r="S635" s="60"/>
      <c r="T635" s="2"/>
      <c r="U635" s="29"/>
    </row>
    <row r="636" spans="19:21" ht="14.25" customHeight="1" x14ac:dyDescent="0.25">
      <c r="S636" s="60"/>
      <c r="T636" s="2"/>
      <c r="U636" s="29"/>
    </row>
    <row r="637" spans="19:21" ht="14.25" customHeight="1" x14ac:dyDescent="0.25">
      <c r="S637" s="60"/>
      <c r="T637" s="2"/>
      <c r="U637" s="29"/>
    </row>
    <row r="638" spans="19:21" ht="14.25" customHeight="1" x14ac:dyDescent="0.25">
      <c r="S638" s="60"/>
      <c r="T638" s="2"/>
      <c r="U638" s="29"/>
    </row>
    <row r="639" spans="19:21" ht="14.25" customHeight="1" x14ac:dyDescent="0.25">
      <c r="S639" s="60"/>
      <c r="T639" s="2"/>
      <c r="U639" s="29"/>
    </row>
    <row r="640" spans="19:21" ht="14.25" customHeight="1" x14ac:dyDescent="0.25">
      <c r="S640" s="60"/>
      <c r="T640" s="2"/>
      <c r="U640" s="29"/>
    </row>
    <row r="641" spans="19:21" ht="14.25" customHeight="1" x14ac:dyDescent="0.25">
      <c r="S641" s="60"/>
      <c r="T641" s="2"/>
      <c r="U641" s="29"/>
    </row>
    <row r="642" spans="19:21" ht="14.25" customHeight="1" x14ac:dyDescent="0.25">
      <c r="S642" s="60"/>
      <c r="T642" s="2"/>
      <c r="U642" s="29"/>
    </row>
    <row r="643" spans="19:21" ht="14.25" customHeight="1" x14ac:dyDescent="0.25">
      <c r="S643" s="60"/>
      <c r="T643" s="2"/>
      <c r="U643" s="29"/>
    </row>
    <row r="644" spans="19:21" ht="14.25" customHeight="1" x14ac:dyDescent="0.25">
      <c r="S644" s="60"/>
      <c r="T644" s="2"/>
      <c r="U644" s="29"/>
    </row>
    <row r="645" spans="19:21" ht="14.25" customHeight="1" x14ac:dyDescent="0.25">
      <c r="S645" s="60"/>
      <c r="T645" s="2"/>
      <c r="U645" s="29"/>
    </row>
    <row r="646" spans="19:21" ht="14.25" customHeight="1" x14ac:dyDescent="0.25">
      <c r="S646" s="60"/>
      <c r="T646" s="2"/>
      <c r="U646" s="29"/>
    </row>
    <row r="647" spans="19:21" ht="14.25" customHeight="1" x14ac:dyDescent="0.25">
      <c r="S647" s="60"/>
      <c r="T647" s="2"/>
      <c r="U647" s="29"/>
    </row>
    <row r="648" spans="19:21" ht="14.25" customHeight="1" x14ac:dyDescent="0.25">
      <c r="S648" s="60"/>
      <c r="T648" s="2"/>
      <c r="U648" s="29"/>
    </row>
    <row r="649" spans="19:21" ht="14.25" customHeight="1" x14ac:dyDescent="0.25">
      <c r="S649" s="60"/>
      <c r="T649" s="2"/>
      <c r="U649" s="29"/>
    </row>
    <row r="650" spans="19:21" ht="14.25" customHeight="1" x14ac:dyDescent="0.25">
      <c r="S650" s="60"/>
      <c r="T650" s="2"/>
      <c r="U650" s="29"/>
    </row>
    <row r="651" spans="19:21" ht="14.25" customHeight="1" x14ac:dyDescent="0.25">
      <c r="S651" s="60"/>
      <c r="T651" s="2"/>
      <c r="U651" s="29"/>
    </row>
    <row r="652" spans="19:21" ht="14.25" customHeight="1" x14ac:dyDescent="0.25">
      <c r="S652" s="60"/>
      <c r="T652" s="2"/>
      <c r="U652" s="29"/>
    </row>
    <row r="653" spans="19:21" ht="14.25" customHeight="1" x14ac:dyDescent="0.25">
      <c r="S653" s="60"/>
      <c r="T653" s="2"/>
      <c r="U653" s="29"/>
    </row>
    <row r="654" spans="19:21" ht="14.25" customHeight="1" x14ac:dyDescent="0.25">
      <c r="S654" s="60"/>
      <c r="T654" s="2"/>
      <c r="U654" s="29"/>
    </row>
    <row r="655" spans="19:21" ht="14.25" customHeight="1" x14ac:dyDescent="0.25">
      <c r="S655" s="60"/>
      <c r="T655" s="2"/>
      <c r="U655" s="29"/>
    </row>
    <row r="656" spans="19:21" ht="14.25" customHeight="1" x14ac:dyDescent="0.25">
      <c r="S656" s="60"/>
      <c r="T656" s="2"/>
      <c r="U656" s="29"/>
    </row>
    <row r="657" spans="19:21" ht="14.25" customHeight="1" x14ac:dyDescent="0.25">
      <c r="S657" s="60"/>
      <c r="T657" s="2"/>
      <c r="U657" s="29"/>
    </row>
    <row r="658" spans="19:21" ht="14.25" customHeight="1" x14ac:dyDescent="0.25">
      <c r="S658" s="60"/>
      <c r="T658" s="2"/>
      <c r="U658" s="29"/>
    </row>
    <row r="659" spans="19:21" ht="14.25" customHeight="1" x14ac:dyDescent="0.25">
      <c r="S659" s="60"/>
      <c r="T659" s="2"/>
      <c r="U659" s="29"/>
    </row>
    <row r="660" spans="19:21" ht="14.25" customHeight="1" x14ac:dyDescent="0.25">
      <c r="S660" s="60"/>
      <c r="T660" s="2"/>
      <c r="U660" s="29"/>
    </row>
    <row r="661" spans="19:21" ht="14.25" customHeight="1" x14ac:dyDescent="0.25">
      <c r="S661" s="60"/>
      <c r="T661" s="2"/>
      <c r="U661" s="29"/>
    </row>
    <row r="662" spans="19:21" ht="14.25" customHeight="1" x14ac:dyDescent="0.25">
      <c r="S662" s="60"/>
      <c r="T662" s="2"/>
      <c r="U662" s="29"/>
    </row>
    <row r="663" spans="19:21" ht="14.25" customHeight="1" x14ac:dyDescent="0.25">
      <c r="S663" s="60"/>
      <c r="T663" s="2"/>
      <c r="U663" s="29"/>
    </row>
    <row r="664" spans="19:21" ht="14.25" customHeight="1" x14ac:dyDescent="0.25">
      <c r="S664" s="60"/>
      <c r="T664" s="2"/>
      <c r="U664" s="29"/>
    </row>
    <row r="665" spans="19:21" ht="14.25" customHeight="1" x14ac:dyDescent="0.25">
      <c r="S665" s="60"/>
      <c r="T665" s="2"/>
      <c r="U665" s="29"/>
    </row>
    <row r="666" spans="19:21" ht="14.25" customHeight="1" x14ac:dyDescent="0.25">
      <c r="S666" s="60"/>
      <c r="T666" s="2"/>
      <c r="U666" s="29"/>
    </row>
    <row r="667" spans="19:21" ht="14.25" customHeight="1" x14ac:dyDescent="0.25">
      <c r="S667" s="60"/>
      <c r="T667" s="2"/>
      <c r="U667" s="29"/>
    </row>
    <row r="668" spans="19:21" ht="14.25" customHeight="1" x14ac:dyDescent="0.25">
      <c r="S668" s="60"/>
      <c r="T668" s="2"/>
      <c r="U668" s="29"/>
    </row>
    <row r="669" spans="19:21" ht="14.25" customHeight="1" x14ac:dyDescent="0.25">
      <c r="S669" s="60"/>
      <c r="T669" s="2"/>
      <c r="U669" s="29"/>
    </row>
    <row r="670" spans="19:21" ht="14.25" customHeight="1" x14ac:dyDescent="0.25">
      <c r="S670" s="60"/>
      <c r="T670" s="2"/>
      <c r="U670" s="29"/>
    </row>
    <row r="671" spans="19:21" ht="14.25" customHeight="1" x14ac:dyDescent="0.25">
      <c r="S671" s="60"/>
      <c r="T671" s="2"/>
      <c r="U671" s="29"/>
    </row>
    <row r="672" spans="19:21" ht="14.25" customHeight="1" x14ac:dyDescent="0.25">
      <c r="S672" s="60"/>
      <c r="T672" s="2"/>
      <c r="U672" s="29"/>
    </row>
    <row r="673" spans="19:21" ht="14.25" customHeight="1" x14ac:dyDescent="0.25">
      <c r="S673" s="60"/>
      <c r="T673" s="2"/>
      <c r="U673" s="29"/>
    </row>
    <row r="674" spans="19:21" ht="14.25" customHeight="1" x14ac:dyDescent="0.25">
      <c r="S674" s="60"/>
      <c r="T674" s="2"/>
      <c r="U674" s="29"/>
    </row>
    <row r="675" spans="19:21" ht="14.25" customHeight="1" x14ac:dyDescent="0.25">
      <c r="S675" s="60"/>
      <c r="T675" s="2"/>
      <c r="U675" s="29"/>
    </row>
    <row r="676" spans="19:21" ht="14.25" customHeight="1" x14ac:dyDescent="0.25">
      <c r="S676" s="60"/>
      <c r="T676" s="2"/>
      <c r="U676" s="29"/>
    </row>
    <row r="677" spans="19:21" ht="14.25" customHeight="1" x14ac:dyDescent="0.25">
      <c r="S677" s="60"/>
      <c r="T677" s="2"/>
      <c r="U677" s="29"/>
    </row>
    <row r="678" spans="19:21" ht="14.25" customHeight="1" x14ac:dyDescent="0.25">
      <c r="S678" s="60"/>
      <c r="T678" s="2"/>
      <c r="U678" s="29"/>
    </row>
    <row r="679" spans="19:21" ht="14.25" customHeight="1" x14ac:dyDescent="0.25">
      <c r="S679" s="60"/>
      <c r="T679" s="2"/>
      <c r="U679" s="29"/>
    </row>
    <row r="680" spans="19:21" ht="14.25" customHeight="1" x14ac:dyDescent="0.25">
      <c r="S680" s="60"/>
      <c r="T680" s="2"/>
      <c r="U680" s="29"/>
    </row>
    <row r="681" spans="19:21" ht="14.25" customHeight="1" x14ac:dyDescent="0.25">
      <c r="S681" s="60"/>
      <c r="T681" s="2"/>
      <c r="U681" s="29"/>
    </row>
    <row r="682" spans="19:21" ht="14.25" customHeight="1" x14ac:dyDescent="0.25">
      <c r="S682" s="60"/>
      <c r="T682" s="2"/>
      <c r="U682" s="29"/>
    </row>
    <row r="683" spans="19:21" ht="14.25" customHeight="1" x14ac:dyDescent="0.25">
      <c r="S683" s="60"/>
      <c r="T683" s="2"/>
      <c r="U683" s="29"/>
    </row>
    <row r="684" spans="19:21" ht="14.25" customHeight="1" x14ac:dyDescent="0.25">
      <c r="S684" s="60"/>
      <c r="T684" s="2"/>
      <c r="U684" s="29"/>
    </row>
    <row r="685" spans="19:21" ht="14.25" customHeight="1" x14ac:dyDescent="0.25">
      <c r="S685" s="60"/>
      <c r="T685" s="2"/>
      <c r="U685" s="29"/>
    </row>
    <row r="686" spans="19:21" ht="14.25" customHeight="1" x14ac:dyDescent="0.25">
      <c r="S686" s="60"/>
      <c r="T686" s="2"/>
      <c r="U686" s="29"/>
    </row>
    <row r="687" spans="19:21" ht="14.25" customHeight="1" x14ac:dyDescent="0.25">
      <c r="S687" s="60"/>
      <c r="T687" s="2"/>
      <c r="U687" s="29"/>
    </row>
    <row r="688" spans="19:21" ht="14.25" customHeight="1" x14ac:dyDescent="0.25">
      <c r="S688" s="60"/>
      <c r="T688" s="2"/>
      <c r="U688" s="29"/>
    </row>
    <row r="689" spans="19:21" ht="14.25" customHeight="1" x14ac:dyDescent="0.25">
      <c r="S689" s="60"/>
      <c r="T689" s="2"/>
      <c r="U689" s="29"/>
    </row>
    <row r="690" spans="19:21" ht="14.25" customHeight="1" x14ac:dyDescent="0.25">
      <c r="S690" s="60"/>
      <c r="T690" s="2"/>
      <c r="U690" s="29"/>
    </row>
    <row r="691" spans="19:21" ht="14.25" customHeight="1" x14ac:dyDescent="0.25">
      <c r="S691" s="60"/>
      <c r="T691" s="2"/>
      <c r="U691" s="29"/>
    </row>
    <row r="692" spans="19:21" ht="14.25" customHeight="1" x14ac:dyDescent="0.25">
      <c r="S692" s="60"/>
      <c r="T692" s="2"/>
      <c r="U692" s="29"/>
    </row>
    <row r="693" spans="19:21" ht="14.25" customHeight="1" x14ac:dyDescent="0.25">
      <c r="S693" s="60"/>
      <c r="T693" s="2"/>
      <c r="U693" s="29"/>
    </row>
    <row r="694" spans="19:21" ht="14.25" customHeight="1" x14ac:dyDescent="0.25">
      <c r="S694" s="60"/>
      <c r="T694" s="2"/>
      <c r="U694" s="29"/>
    </row>
    <row r="695" spans="19:21" ht="14.25" customHeight="1" x14ac:dyDescent="0.25">
      <c r="S695" s="60"/>
      <c r="T695" s="2"/>
      <c r="U695" s="29"/>
    </row>
    <row r="696" spans="19:21" ht="14.25" customHeight="1" x14ac:dyDescent="0.25">
      <c r="S696" s="60"/>
      <c r="T696" s="2"/>
      <c r="U696" s="29"/>
    </row>
    <row r="697" spans="19:21" ht="14.25" customHeight="1" x14ac:dyDescent="0.25">
      <c r="S697" s="60"/>
      <c r="T697" s="2"/>
      <c r="U697" s="29"/>
    </row>
    <row r="698" spans="19:21" ht="14.25" customHeight="1" x14ac:dyDescent="0.25">
      <c r="S698" s="60"/>
      <c r="T698" s="2"/>
      <c r="U698" s="29"/>
    </row>
    <row r="699" spans="19:21" ht="14.25" customHeight="1" x14ac:dyDescent="0.25">
      <c r="S699" s="60"/>
      <c r="T699" s="2"/>
      <c r="U699" s="29"/>
    </row>
    <row r="700" spans="19:21" ht="14.25" customHeight="1" x14ac:dyDescent="0.25">
      <c r="S700" s="60"/>
      <c r="T700" s="2"/>
      <c r="U700" s="29"/>
    </row>
    <row r="701" spans="19:21" ht="14.25" customHeight="1" x14ac:dyDescent="0.25">
      <c r="S701" s="60"/>
      <c r="T701" s="2"/>
      <c r="U701" s="29"/>
    </row>
    <row r="702" spans="19:21" ht="14.25" customHeight="1" x14ac:dyDescent="0.25">
      <c r="S702" s="60"/>
      <c r="T702" s="2"/>
      <c r="U702" s="29"/>
    </row>
    <row r="703" spans="19:21" ht="14.25" customHeight="1" x14ac:dyDescent="0.25">
      <c r="S703" s="60"/>
      <c r="T703" s="2"/>
      <c r="U703" s="29"/>
    </row>
    <row r="704" spans="19:21" ht="14.25" customHeight="1" x14ac:dyDescent="0.25">
      <c r="S704" s="60"/>
      <c r="T704" s="2"/>
      <c r="U704" s="29"/>
    </row>
    <row r="705" spans="19:21" ht="14.25" customHeight="1" x14ac:dyDescent="0.25">
      <c r="S705" s="60"/>
      <c r="T705" s="2"/>
      <c r="U705" s="29"/>
    </row>
    <row r="706" spans="19:21" ht="14.25" customHeight="1" x14ac:dyDescent="0.25">
      <c r="S706" s="60"/>
      <c r="T706" s="2"/>
      <c r="U706" s="29"/>
    </row>
    <row r="707" spans="19:21" ht="14.25" customHeight="1" x14ac:dyDescent="0.25">
      <c r="S707" s="60"/>
      <c r="T707" s="2"/>
      <c r="U707" s="29"/>
    </row>
    <row r="708" spans="19:21" ht="14.25" customHeight="1" x14ac:dyDescent="0.25">
      <c r="S708" s="60"/>
      <c r="T708" s="2"/>
      <c r="U708" s="29"/>
    </row>
    <row r="709" spans="19:21" ht="14.25" customHeight="1" x14ac:dyDescent="0.25">
      <c r="S709" s="60"/>
      <c r="T709" s="2"/>
      <c r="U709" s="29"/>
    </row>
    <row r="710" spans="19:21" ht="14.25" customHeight="1" x14ac:dyDescent="0.25">
      <c r="S710" s="60"/>
      <c r="T710" s="2"/>
      <c r="U710" s="29"/>
    </row>
    <row r="711" spans="19:21" ht="14.25" customHeight="1" x14ac:dyDescent="0.25">
      <c r="S711" s="60"/>
      <c r="T711" s="2"/>
      <c r="U711" s="29"/>
    </row>
    <row r="712" spans="19:21" ht="14.25" customHeight="1" x14ac:dyDescent="0.25">
      <c r="S712" s="60"/>
      <c r="T712" s="2"/>
      <c r="U712" s="29"/>
    </row>
    <row r="713" spans="19:21" ht="14.25" customHeight="1" x14ac:dyDescent="0.25">
      <c r="S713" s="60"/>
      <c r="T713" s="2"/>
      <c r="U713" s="29"/>
    </row>
    <row r="714" spans="19:21" ht="14.25" customHeight="1" x14ac:dyDescent="0.25">
      <c r="S714" s="60"/>
      <c r="T714" s="2"/>
      <c r="U714" s="29"/>
    </row>
    <row r="715" spans="19:21" ht="14.25" customHeight="1" x14ac:dyDescent="0.25">
      <c r="S715" s="60"/>
      <c r="T715" s="2"/>
      <c r="U715" s="29"/>
    </row>
    <row r="716" spans="19:21" ht="14.25" customHeight="1" x14ac:dyDescent="0.25">
      <c r="S716" s="60"/>
      <c r="T716" s="2"/>
      <c r="U716" s="29"/>
    </row>
    <row r="717" spans="19:21" ht="14.25" customHeight="1" x14ac:dyDescent="0.25">
      <c r="S717" s="60"/>
      <c r="T717" s="2"/>
      <c r="U717" s="29"/>
    </row>
    <row r="718" spans="19:21" ht="14.25" customHeight="1" x14ac:dyDescent="0.25">
      <c r="S718" s="60"/>
      <c r="T718" s="2"/>
      <c r="U718" s="29"/>
    </row>
    <row r="719" spans="19:21" ht="14.25" customHeight="1" x14ac:dyDescent="0.25">
      <c r="S719" s="60"/>
      <c r="T719" s="2"/>
      <c r="U719" s="29"/>
    </row>
    <row r="720" spans="19:21" ht="14.25" customHeight="1" x14ac:dyDescent="0.25">
      <c r="S720" s="60"/>
      <c r="T720" s="2"/>
      <c r="U720" s="29"/>
    </row>
    <row r="721" spans="19:21" ht="14.25" customHeight="1" x14ac:dyDescent="0.25">
      <c r="S721" s="60"/>
      <c r="T721" s="2"/>
      <c r="U721" s="29"/>
    </row>
    <row r="722" spans="19:21" ht="14.25" customHeight="1" x14ac:dyDescent="0.25">
      <c r="S722" s="60"/>
      <c r="T722" s="2"/>
      <c r="U722" s="29"/>
    </row>
    <row r="723" spans="19:21" ht="14.25" customHeight="1" x14ac:dyDescent="0.25">
      <c r="S723" s="60"/>
      <c r="T723" s="2"/>
      <c r="U723" s="29"/>
    </row>
    <row r="724" spans="19:21" ht="14.25" customHeight="1" x14ac:dyDescent="0.25">
      <c r="S724" s="60"/>
      <c r="T724" s="2"/>
      <c r="U724" s="29"/>
    </row>
    <row r="725" spans="19:21" ht="14.25" customHeight="1" x14ac:dyDescent="0.25">
      <c r="S725" s="60"/>
      <c r="T725" s="2"/>
      <c r="U725" s="29"/>
    </row>
    <row r="726" spans="19:21" ht="14.25" customHeight="1" x14ac:dyDescent="0.25">
      <c r="S726" s="60"/>
      <c r="T726" s="2"/>
      <c r="U726" s="29"/>
    </row>
    <row r="727" spans="19:21" ht="14.25" customHeight="1" x14ac:dyDescent="0.25">
      <c r="S727" s="60"/>
      <c r="T727" s="2"/>
      <c r="U727" s="29"/>
    </row>
    <row r="728" spans="19:21" ht="14.25" customHeight="1" x14ac:dyDescent="0.25">
      <c r="S728" s="60"/>
      <c r="T728" s="2"/>
      <c r="U728" s="29"/>
    </row>
    <row r="729" spans="19:21" ht="14.25" customHeight="1" x14ac:dyDescent="0.25">
      <c r="S729" s="60"/>
      <c r="T729" s="2"/>
      <c r="U729" s="29"/>
    </row>
    <row r="730" spans="19:21" ht="14.25" customHeight="1" x14ac:dyDescent="0.25">
      <c r="S730" s="60"/>
      <c r="T730" s="2"/>
      <c r="U730" s="29"/>
    </row>
    <row r="731" spans="19:21" ht="14.25" customHeight="1" x14ac:dyDescent="0.25">
      <c r="S731" s="60"/>
      <c r="T731" s="2"/>
      <c r="U731" s="29"/>
    </row>
    <row r="732" spans="19:21" ht="14.25" customHeight="1" x14ac:dyDescent="0.25">
      <c r="S732" s="60"/>
      <c r="T732" s="2"/>
      <c r="U732" s="29"/>
    </row>
    <row r="733" spans="19:21" ht="14.25" customHeight="1" x14ac:dyDescent="0.25">
      <c r="S733" s="60"/>
      <c r="T733" s="2"/>
      <c r="U733" s="29"/>
    </row>
    <row r="734" spans="19:21" ht="14.25" customHeight="1" x14ac:dyDescent="0.25">
      <c r="S734" s="60"/>
      <c r="T734" s="2"/>
      <c r="U734" s="29"/>
    </row>
    <row r="735" spans="19:21" ht="14.25" customHeight="1" x14ac:dyDescent="0.25">
      <c r="S735" s="60"/>
      <c r="T735" s="2"/>
      <c r="U735" s="29"/>
    </row>
    <row r="736" spans="19:21" ht="14.25" customHeight="1" x14ac:dyDescent="0.25">
      <c r="S736" s="60"/>
      <c r="T736" s="2"/>
      <c r="U736" s="29"/>
    </row>
    <row r="737" spans="19:21" ht="14.25" customHeight="1" x14ac:dyDescent="0.25">
      <c r="S737" s="60"/>
      <c r="T737" s="2"/>
      <c r="U737" s="29"/>
    </row>
    <row r="738" spans="19:21" ht="14.25" customHeight="1" x14ac:dyDescent="0.25">
      <c r="S738" s="60"/>
      <c r="T738" s="2"/>
      <c r="U738" s="29"/>
    </row>
    <row r="739" spans="19:21" ht="14.25" customHeight="1" x14ac:dyDescent="0.25">
      <c r="S739" s="60"/>
      <c r="T739" s="2"/>
      <c r="U739" s="29"/>
    </row>
    <row r="740" spans="19:21" ht="14.25" customHeight="1" x14ac:dyDescent="0.25">
      <c r="S740" s="60"/>
      <c r="T740" s="2"/>
      <c r="U740" s="29"/>
    </row>
    <row r="741" spans="19:21" ht="14.25" customHeight="1" x14ac:dyDescent="0.25">
      <c r="S741" s="60"/>
      <c r="T741" s="2"/>
      <c r="U741" s="29"/>
    </row>
    <row r="742" spans="19:21" ht="14.25" customHeight="1" x14ac:dyDescent="0.25">
      <c r="S742" s="60"/>
      <c r="T742" s="2"/>
      <c r="U742" s="29"/>
    </row>
    <row r="743" spans="19:21" ht="14.25" customHeight="1" x14ac:dyDescent="0.25">
      <c r="S743" s="60"/>
      <c r="T743" s="2"/>
      <c r="U743" s="29"/>
    </row>
    <row r="744" spans="19:21" ht="14.25" customHeight="1" x14ac:dyDescent="0.25">
      <c r="S744" s="60"/>
      <c r="T744" s="2"/>
      <c r="U744" s="29"/>
    </row>
    <row r="745" spans="19:21" ht="14.25" customHeight="1" x14ac:dyDescent="0.25">
      <c r="S745" s="60"/>
      <c r="T745" s="2"/>
      <c r="U745" s="29"/>
    </row>
    <row r="746" spans="19:21" ht="14.25" customHeight="1" x14ac:dyDescent="0.25">
      <c r="S746" s="60"/>
      <c r="T746" s="2"/>
      <c r="U746" s="29"/>
    </row>
    <row r="747" spans="19:21" ht="14.25" customHeight="1" x14ac:dyDescent="0.25">
      <c r="S747" s="60"/>
      <c r="T747" s="2"/>
      <c r="U747" s="29"/>
    </row>
    <row r="748" spans="19:21" ht="14.25" customHeight="1" x14ac:dyDescent="0.25">
      <c r="S748" s="60"/>
      <c r="T748" s="2"/>
      <c r="U748" s="29"/>
    </row>
    <row r="749" spans="19:21" ht="14.25" customHeight="1" x14ac:dyDescent="0.25">
      <c r="S749" s="60"/>
      <c r="T749" s="2"/>
      <c r="U749" s="29"/>
    </row>
    <row r="750" spans="19:21" ht="14.25" customHeight="1" x14ac:dyDescent="0.25">
      <c r="S750" s="60"/>
      <c r="T750" s="2"/>
      <c r="U750" s="29"/>
    </row>
    <row r="751" spans="19:21" ht="14.25" customHeight="1" x14ac:dyDescent="0.25">
      <c r="S751" s="60"/>
      <c r="T751" s="2"/>
      <c r="U751" s="29"/>
    </row>
    <row r="752" spans="19:21" ht="14.25" customHeight="1" x14ac:dyDescent="0.25">
      <c r="S752" s="60"/>
      <c r="T752" s="2"/>
      <c r="U752" s="29"/>
    </row>
    <row r="753" spans="19:21" ht="14.25" customHeight="1" x14ac:dyDescent="0.25">
      <c r="S753" s="60"/>
      <c r="T753" s="2"/>
      <c r="U753" s="29"/>
    </row>
    <row r="754" spans="19:21" ht="14.25" customHeight="1" x14ac:dyDescent="0.25">
      <c r="S754" s="60"/>
      <c r="T754" s="2"/>
      <c r="U754" s="29"/>
    </row>
    <row r="755" spans="19:21" ht="14.25" customHeight="1" x14ac:dyDescent="0.25">
      <c r="S755" s="60"/>
      <c r="T755" s="2"/>
      <c r="U755" s="29"/>
    </row>
    <row r="756" spans="19:21" ht="14.25" customHeight="1" x14ac:dyDescent="0.25">
      <c r="S756" s="60"/>
      <c r="T756" s="2"/>
      <c r="U756" s="29"/>
    </row>
    <row r="757" spans="19:21" ht="14.25" customHeight="1" x14ac:dyDescent="0.25">
      <c r="S757" s="60"/>
      <c r="T757" s="2"/>
      <c r="U757" s="29"/>
    </row>
    <row r="758" spans="19:21" ht="14.25" customHeight="1" x14ac:dyDescent="0.25">
      <c r="S758" s="60"/>
      <c r="T758" s="2"/>
      <c r="U758" s="29"/>
    </row>
    <row r="759" spans="19:21" ht="14.25" customHeight="1" x14ac:dyDescent="0.25">
      <c r="S759" s="60"/>
      <c r="T759" s="2"/>
      <c r="U759" s="29"/>
    </row>
    <row r="760" spans="19:21" ht="14.25" customHeight="1" x14ac:dyDescent="0.25">
      <c r="S760" s="60"/>
      <c r="T760" s="2"/>
      <c r="U760" s="29"/>
    </row>
    <row r="761" spans="19:21" ht="14.25" customHeight="1" x14ac:dyDescent="0.25">
      <c r="S761" s="60"/>
      <c r="T761" s="2"/>
      <c r="U761" s="29"/>
    </row>
    <row r="762" spans="19:21" ht="14.25" customHeight="1" x14ac:dyDescent="0.25">
      <c r="S762" s="60"/>
      <c r="T762" s="2"/>
      <c r="U762" s="29"/>
    </row>
    <row r="763" spans="19:21" ht="14.25" customHeight="1" x14ac:dyDescent="0.25">
      <c r="S763" s="60"/>
      <c r="T763" s="2"/>
      <c r="U763" s="29"/>
    </row>
    <row r="764" spans="19:21" ht="14.25" customHeight="1" x14ac:dyDescent="0.25">
      <c r="S764" s="60"/>
      <c r="T764" s="2"/>
      <c r="U764" s="29"/>
    </row>
    <row r="765" spans="19:21" ht="14.25" customHeight="1" x14ac:dyDescent="0.25">
      <c r="S765" s="60"/>
      <c r="T765" s="2"/>
      <c r="U765" s="29"/>
    </row>
    <row r="766" spans="19:21" ht="14.25" customHeight="1" x14ac:dyDescent="0.25">
      <c r="S766" s="60"/>
      <c r="T766" s="2"/>
      <c r="U766" s="29"/>
    </row>
    <row r="767" spans="19:21" ht="14.25" customHeight="1" x14ac:dyDescent="0.25">
      <c r="S767" s="60"/>
      <c r="T767" s="2"/>
      <c r="U767" s="29"/>
    </row>
    <row r="768" spans="19:21" ht="14.25" customHeight="1" x14ac:dyDescent="0.25">
      <c r="S768" s="60"/>
      <c r="T768" s="2"/>
      <c r="U768" s="29"/>
    </row>
    <row r="769" spans="19:21" ht="14.25" customHeight="1" x14ac:dyDescent="0.25">
      <c r="S769" s="60"/>
      <c r="T769" s="2"/>
      <c r="U769" s="29"/>
    </row>
    <row r="770" spans="19:21" ht="14.25" customHeight="1" x14ac:dyDescent="0.25">
      <c r="S770" s="60"/>
      <c r="T770" s="2"/>
      <c r="U770" s="29"/>
    </row>
    <row r="771" spans="19:21" ht="14.25" customHeight="1" x14ac:dyDescent="0.25">
      <c r="S771" s="60"/>
      <c r="T771" s="2"/>
      <c r="U771" s="29"/>
    </row>
    <row r="772" spans="19:21" ht="14.25" customHeight="1" x14ac:dyDescent="0.25">
      <c r="S772" s="60"/>
      <c r="T772" s="2"/>
      <c r="U772" s="29"/>
    </row>
    <row r="773" spans="19:21" ht="14.25" customHeight="1" x14ac:dyDescent="0.25">
      <c r="S773" s="60"/>
      <c r="T773" s="2"/>
      <c r="U773" s="29"/>
    </row>
    <row r="774" spans="19:21" ht="14.25" customHeight="1" x14ac:dyDescent="0.25">
      <c r="S774" s="60"/>
      <c r="T774" s="2"/>
      <c r="U774" s="29"/>
    </row>
    <row r="775" spans="19:21" ht="14.25" customHeight="1" x14ac:dyDescent="0.25">
      <c r="S775" s="60"/>
      <c r="T775" s="2"/>
      <c r="U775" s="29"/>
    </row>
    <row r="776" spans="19:21" ht="14.25" customHeight="1" x14ac:dyDescent="0.25">
      <c r="S776" s="60"/>
      <c r="T776" s="2"/>
      <c r="U776" s="29"/>
    </row>
    <row r="777" spans="19:21" ht="14.25" customHeight="1" x14ac:dyDescent="0.25">
      <c r="S777" s="60"/>
      <c r="T777" s="2"/>
      <c r="U777" s="29"/>
    </row>
    <row r="778" spans="19:21" ht="14.25" customHeight="1" x14ac:dyDescent="0.25">
      <c r="S778" s="60"/>
      <c r="T778" s="2"/>
      <c r="U778" s="29"/>
    </row>
    <row r="779" spans="19:21" ht="14.25" customHeight="1" x14ac:dyDescent="0.25">
      <c r="S779" s="60"/>
      <c r="T779" s="2"/>
      <c r="U779" s="29"/>
    </row>
    <row r="780" spans="19:21" ht="14.25" customHeight="1" x14ac:dyDescent="0.25">
      <c r="S780" s="60"/>
      <c r="T780" s="2"/>
      <c r="U780" s="29"/>
    </row>
    <row r="781" spans="19:21" ht="14.25" customHeight="1" x14ac:dyDescent="0.25">
      <c r="S781" s="60"/>
      <c r="T781" s="2"/>
      <c r="U781" s="29"/>
    </row>
    <row r="782" spans="19:21" ht="14.25" customHeight="1" x14ac:dyDescent="0.25">
      <c r="S782" s="60"/>
      <c r="T782" s="2"/>
      <c r="U782" s="29"/>
    </row>
    <row r="783" spans="19:21" ht="14.25" customHeight="1" x14ac:dyDescent="0.25">
      <c r="S783" s="60"/>
      <c r="T783" s="2"/>
      <c r="U783" s="29"/>
    </row>
    <row r="784" spans="19:21" ht="14.25" customHeight="1" x14ac:dyDescent="0.25">
      <c r="S784" s="60"/>
      <c r="T784" s="2"/>
      <c r="U784" s="29"/>
    </row>
    <row r="785" spans="19:21" ht="14.25" customHeight="1" x14ac:dyDescent="0.25">
      <c r="S785" s="60"/>
      <c r="T785" s="2"/>
      <c r="U785" s="29"/>
    </row>
    <row r="786" spans="19:21" ht="14.25" customHeight="1" x14ac:dyDescent="0.25">
      <c r="S786" s="60"/>
      <c r="T786" s="2"/>
      <c r="U786" s="29"/>
    </row>
    <row r="787" spans="19:21" ht="14.25" customHeight="1" x14ac:dyDescent="0.25">
      <c r="S787" s="60"/>
      <c r="T787" s="2"/>
      <c r="U787" s="29"/>
    </row>
    <row r="788" spans="19:21" ht="14.25" customHeight="1" x14ac:dyDescent="0.25">
      <c r="S788" s="60"/>
      <c r="T788" s="2"/>
      <c r="U788" s="29"/>
    </row>
    <row r="789" spans="19:21" ht="14.25" customHeight="1" x14ac:dyDescent="0.25">
      <c r="S789" s="60"/>
      <c r="T789" s="2"/>
      <c r="U789" s="29"/>
    </row>
    <row r="790" spans="19:21" ht="14.25" customHeight="1" x14ac:dyDescent="0.25">
      <c r="S790" s="60"/>
      <c r="T790" s="2"/>
      <c r="U790" s="29"/>
    </row>
    <row r="791" spans="19:21" ht="14.25" customHeight="1" x14ac:dyDescent="0.25">
      <c r="S791" s="60"/>
      <c r="T791" s="2"/>
      <c r="U791" s="29"/>
    </row>
    <row r="792" spans="19:21" ht="14.25" customHeight="1" x14ac:dyDescent="0.25">
      <c r="S792" s="60"/>
      <c r="T792" s="2"/>
      <c r="U792" s="29"/>
    </row>
    <row r="793" spans="19:21" ht="14.25" customHeight="1" x14ac:dyDescent="0.25">
      <c r="S793" s="60"/>
      <c r="T793" s="2"/>
      <c r="U793" s="29"/>
    </row>
    <row r="794" spans="19:21" ht="14.25" customHeight="1" x14ac:dyDescent="0.25">
      <c r="S794" s="60"/>
      <c r="T794" s="2"/>
      <c r="U794" s="29"/>
    </row>
    <row r="795" spans="19:21" ht="14.25" customHeight="1" x14ac:dyDescent="0.25">
      <c r="S795" s="60"/>
      <c r="T795" s="2"/>
      <c r="U795" s="29"/>
    </row>
    <row r="796" spans="19:21" ht="14.25" customHeight="1" x14ac:dyDescent="0.25">
      <c r="S796" s="60"/>
      <c r="T796" s="2"/>
      <c r="U796" s="29"/>
    </row>
    <row r="797" spans="19:21" ht="14.25" customHeight="1" x14ac:dyDescent="0.25">
      <c r="S797" s="60"/>
      <c r="T797" s="2"/>
      <c r="U797" s="29"/>
    </row>
    <row r="798" spans="19:21" ht="14.25" customHeight="1" x14ac:dyDescent="0.25">
      <c r="S798" s="60"/>
      <c r="T798" s="2"/>
      <c r="U798" s="29"/>
    </row>
    <row r="799" spans="19:21" ht="14.25" customHeight="1" x14ac:dyDescent="0.25">
      <c r="S799" s="60"/>
      <c r="T799" s="2"/>
      <c r="U799" s="29"/>
    </row>
    <row r="800" spans="19:21" ht="14.25" customHeight="1" x14ac:dyDescent="0.25">
      <c r="S800" s="60"/>
      <c r="T800" s="2"/>
      <c r="U800" s="29"/>
    </row>
    <row r="801" spans="19:21" ht="14.25" customHeight="1" x14ac:dyDescent="0.25">
      <c r="S801" s="60"/>
      <c r="T801" s="2"/>
      <c r="U801" s="29"/>
    </row>
    <row r="802" spans="19:21" ht="14.25" customHeight="1" x14ac:dyDescent="0.25">
      <c r="S802" s="60"/>
      <c r="T802" s="2"/>
      <c r="U802" s="29"/>
    </row>
    <row r="803" spans="19:21" ht="14.25" customHeight="1" x14ac:dyDescent="0.25">
      <c r="S803" s="60"/>
      <c r="T803" s="2"/>
      <c r="U803" s="29"/>
    </row>
    <row r="804" spans="19:21" ht="14.25" customHeight="1" x14ac:dyDescent="0.25">
      <c r="S804" s="60"/>
      <c r="T804" s="2"/>
      <c r="U804" s="29"/>
    </row>
    <row r="805" spans="19:21" ht="14.25" customHeight="1" x14ac:dyDescent="0.25">
      <c r="S805" s="60"/>
      <c r="T805" s="2"/>
      <c r="U805" s="29"/>
    </row>
    <row r="806" spans="19:21" ht="14.25" customHeight="1" x14ac:dyDescent="0.25">
      <c r="S806" s="60"/>
      <c r="T806" s="2"/>
      <c r="U806" s="29"/>
    </row>
    <row r="807" spans="19:21" ht="14.25" customHeight="1" x14ac:dyDescent="0.25">
      <c r="S807" s="60"/>
      <c r="T807" s="2"/>
      <c r="U807" s="29"/>
    </row>
    <row r="808" spans="19:21" ht="14.25" customHeight="1" x14ac:dyDescent="0.25">
      <c r="S808" s="60"/>
      <c r="T808" s="2"/>
      <c r="U808" s="29"/>
    </row>
    <row r="809" spans="19:21" ht="14.25" customHeight="1" x14ac:dyDescent="0.25">
      <c r="S809" s="60"/>
      <c r="T809" s="2"/>
      <c r="U809" s="29"/>
    </row>
    <row r="810" spans="19:21" ht="14.25" customHeight="1" x14ac:dyDescent="0.25">
      <c r="S810" s="60"/>
      <c r="T810" s="2"/>
      <c r="U810" s="29"/>
    </row>
    <row r="811" spans="19:21" ht="14.25" customHeight="1" x14ac:dyDescent="0.25">
      <c r="S811" s="60"/>
      <c r="T811" s="2"/>
      <c r="U811" s="29"/>
    </row>
    <row r="812" spans="19:21" ht="14.25" customHeight="1" x14ac:dyDescent="0.25">
      <c r="S812" s="60"/>
      <c r="T812" s="2"/>
      <c r="U812" s="29"/>
    </row>
    <row r="813" spans="19:21" ht="14.25" customHeight="1" x14ac:dyDescent="0.25">
      <c r="S813" s="60"/>
      <c r="T813" s="2"/>
      <c r="U813" s="29"/>
    </row>
    <row r="814" spans="19:21" ht="14.25" customHeight="1" x14ac:dyDescent="0.25">
      <c r="S814" s="60"/>
      <c r="T814" s="2"/>
      <c r="U814" s="29"/>
    </row>
    <row r="815" spans="19:21" ht="14.25" customHeight="1" x14ac:dyDescent="0.25">
      <c r="S815" s="60"/>
      <c r="T815" s="2"/>
      <c r="U815" s="29"/>
    </row>
    <row r="816" spans="19:21" ht="14.25" customHeight="1" x14ac:dyDescent="0.25">
      <c r="S816" s="60"/>
      <c r="T816" s="2"/>
      <c r="U816" s="29"/>
    </row>
    <row r="817" spans="19:21" ht="14.25" customHeight="1" x14ac:dyDescent="0.25">
      <c r="S817" s="60"/>
      <c r="T817" s="2"/>
      <c r="U817" s="29"/>
    </row>
    <row r="818" spans="19:21" ht="14.25" customHeight="1" x14ac:dyDescent="0.25">
      <c r="S818" s="60"/>
      <c r="T818" s="2"/>
      <c r="U818" s="29"/>
    </row>
    <row r="819" spans="19:21" ht="14.25" customHeight="1" x14ac:dyDescent="0.25">
      <c r="S819" s="60"/>
      <c r="T819" s="2"/>
      <c r="U819" s="29"/>
    </row>
    <row r="820" spans="19:21" ht="14.25" customHeight="1" x14ac:dyDescent="0.25">
      <c r="S820" s="60"/>
      <c r="T820" s="2"/>
      <c r="U820" s="29"/>
    </row>
    <row r="821" spans="19:21" ht="14.25" customHeight="1" x14ac:dyDescent="0.25">
      <c r="S821" s="60"/>
      <c r="T821" s="2"/>
      <c r="U821" s="29"/>
    </row>
    <row r="822" spans="19:21" ht="14.25" customHeight="1" x14ac:dyDescent="0.25">
      <c r="S822" s="60"/>
      <c r="T822" s="2"/>
      <c r="U822" s="29"/>
    </row>
    <row r="823" spans="19:21" ht="14.25" customHeight="1" x14ac:dyDescent="0.25">
      <c r="S823" s="60"/>
      <c r="T823" s="2"/>
      <c r="U823" s="29"/>
    </row>
    <row r="824" spans="19:21" ht="14.25" customHeight="1" x14ac:dyDescent="0.25">
      <c r="S824" s="60"/>
      <c r="T824" s="2"/>
      <c r="U824" s="29"/>
    </row>
    <row r="825" spans="19:21" ht="14.25" customHeight="1" x14ac:dyDescent="0.25">
      <c r="S825" s="60"/>
      <c r="T825" s="2"/>
      <c r="U825" s="29"/>
    </row>
    <row r="826" spans="19:21" ht="14.25" customHeight="1" x14ac:dyDescent="0.25">
      <c r="S826" s="60"/>
      <c r="T826" s="2"/>
      <c r="U826" s="29"/>
    </row>
    <row r="827" spans="19:21" ht="14.25" customHeight="1" x14ac:dyDescent="0.25">
      <c r="S827" s="60"/>
      <c r="T827" s="2"/>
      <c r="U827" s="29"/>
    </row>
    <row r="828" spans="19:21" ht="14.25" customHeight="1" x14ac:dyDescent="0.25">
      <c r="S828" s="60"/>
      <c r="T828" s="2"/>
      <c r="U828" s="29"/>
    </row>
    <row r="829" spans="19:21" ht="14.25" customHeight="1" x14ac:dyDescent="0.25">
      <c r="S829" s="60"/>
      <c r="T829" s="2"/>
      <c r="U829" s="29"/>
    </row>
    <row r="830" spans="19:21" ht="14.25" customHeight="1" x14ac:dyDescent="0.25">
      <c r="S830" s="60"/>
      <c r="T830" s="2"/>
      <c r="U830" s="29"/>
    </row>
    <row r="831" spans="19:21" ht="14.25" customHeight="1" x14ac:dyDescent="0.25">
      <c r="S831" s="60"/>
      <c r="T831" s="2"/>
      <c r="U831" s="29"/>
    </row>
    <row r="832" spans="19:21" ht="14.25" customHeight="1" x14ac:dyDescent="0.25">
      <c r="S832" s="60"/>
      <c r="T832" s="2"/>
      <c r="U832" s="29"/>
    </row>
    <row r="833" spans="19:21" ht="14.25" customHeight="1" x14ac:dyDescent="0.25">
      <c r="S833" s="60"/>
      <c r="T833" s="2"/>
      <c r="U833" s="29"/>
    </row>
    <row r="834" spans="19:21" ht="14.25" customHeight="1" x14ac:dyDescent="0.25">
      <c r="S834" s="60"/>
      <c r="T834" s="2"/>
      <c r="U834" s="29"/>
    </row>
    <row r="835" spans="19:21" ht="14.25" customHeight="1" x14ac:dyDescent="0.25">
      <c r="S835" s="60"/>
      <c r="T835" s="2"/>
      <c r="U835" s="29"/>
    </row>
    <row r="836" spans="19:21" ht="14.25" customHeight="1" x14ac:dyDescent="0.25">
      <c r="S836" s="60"/>
      <c r="T836" s="2"/>
      <c r="U836" s="29"/>
    </row>
    <row r="837" spans="19:21" ht="14.25" customHeight="1" x14ac:dyDescent="0.25">
      <c r="S837" s="60"/>
      <c r="T837" s="2"/>
      <c r="U837" s="29"/>
    </row>
    <row r="838" spans="19:21" ht="14.25" customHeight="1" x14ac:dyDescent="0.25">
      <c r="S838" s="60"/>
      <c r="T838" s="2"/>
      <c r="U838" s="29"/>
    </row>
    <row r="839" spans="19:21" ht="14.25" customHeight="1" x14ac:dyDescent="0.25">
      <c r="S839" s="60"/>
      <c r="T839" s="2"/>
      <c r="U839" s="29"/>
    </row>
    <row r="840" spans="19:21" ht="14.25" customHeight="1" x14ac:dyDescent="0.25">
      <c r="S840" s="60"/>
      <c r="T840" s="2"/>
      <c r="U840" s="29"/>
    </row>
    <row r="841" spans="19:21" ht="14.25" customHeight="1" x14ac:dyDescent="0.25">
      <c r="S841" s="60"/>
      <c r="T841" s="2"/>
      <c r="U841" s="29"/>
    </row>
    <row r="842" spans="19:21" ht="14.25" customHeight="1" x14ac:dyDescent="0.25">
      <c r="S842" s="60"/>
      <c r="T842" s="2"/>
      <c r="U842" s="29"/>
    </row>
    <row r="843" spans="19:21" ht="14.25" customHeight="1" x14ac:dyDescent="0.25">
      <c r="S843" s="60"/>
      <c r="T843" s="2"/>
      <c r="U843" s="29"/>
    </row>
    <row r="844" spans="19:21" ht="14.25" customHeight="1" x14ac:dyDescent="0.25">
      <c r="S844" s="60"/>
      <c r="T844" s="2"/>
      <c r="U844" s="29"/>
    </row>
    <row r="845" spans="19:21" ht="14.25" customHeight="1" x14ac:dyDescent="0.25">
      <c r="S845" s="60"/>
      <c r="T845" s="2"/>
      <c r="U845" s="29"/>
    </row>
    <row r="846" spans="19:21" ht="14.25" customHeight="1" x14ac:dyDescent="0.25">
      <c r="S846" s="60"/>
      <c r="T846" s="2"/>
      <c r="U846" s="29"/>
    </row>
    <row r="847" spans="19:21" ht="14.25" customHeight="1" x14ac:dyDescent="0.25">
      <c r="S847" s="60"/>
      <c r="T847" s="2"/>
      <c r="U847" s="29"/>
    </row>
    <row r="848" spans="19:21" ht="14.25" customHeight="1" x14ac:dyDescent="0.25">
      <c r="S848" s="60"/>
      <c r="T848" s="2"/>
      <c r="U848" s="29"/>
    </row>
    <row r="849" spans="19:21" ht="14.25" customHeight="1" x14ac:dyDescent="0.25">
      <c r="S849" s="60"/>
      <c r="T849" s="2"/>
      <c r="U849" s="29"/>
    </row>
    <row r="850" spans="19:21" ht="14.25" customHeight="1" x14ac:dyDescent="0.25">
      <c r="S850" s="60"/>
      <c r="T850" s="2"/>
      <c r="U850" s="29"/>
    </row>
    <row r="851" spans="19:21" ht="14.25" customHeight="1" x14ac:dyDescent="0.25">
      <c r="S851" s="60"/>
      <c r="T851" s="2"/>
      <c r="U851" s="29"/>
    </row>
    <row r="852" spans="19:21" ht="14.25" customHeight="1" x14ac:dyDescent="0.25">
      <c r="S852" s="60"/>
      <c r="T852" s="2"/>
      <c r="U852" s="29"/>
    </row>
    <row r="853" spans="19:21" ht="14.25" customHeight="1" x14ac:dyDescent="0.25">
      <c r="S853" s="60"/>
      <c r="T853" s="2"/>
      <c r="U853" s="29"/>
    </row>
    <row r="854" spans="19:21" ht="14.25" customHeight="1" x14ac:dyDescent="0.25">
      <c r="S854" s="60"/>
      <c r="T854" s="2"/>
      <c r="U854" s="29"/>
    </row>
    <row r="855" spans="19:21" ht="14.25" customHeight="1" x14ac:dyDescent="0.25">
      <c r="S855" s="60"/>
      <c r="T855" s="2"/>
      <c r="U855" s="29"/>
    </row>
    <row r="856" spans="19:21" ht="14.25" customHeight="1" x14ac:dyDescent="0.25">
      <c r="S856" s="60"/>
      <c r="T856" s="2"/>
      <c r="U856" s="29"/>
    </row>
    <row r="857" spans="19:21" ht="14.25" customHeight="1" x14ac:dyDescent="0.25">
      <c r="S857" s="60"/>
      <c r="T857" s="2"/>
      <c r="U857" s="29"/>
    </row>
    <row r="858" spans="19:21" ht="14.25" customHeight="1" x14ac:dyDescent="0.25">
      <c r="S858" s="60"/>
      <c r="T858" s="2"/>
      <c r="U858" s="29"/>
    </row>
    <row r="859" spans="19:21" ht="14.25" customHeight="1" x14ac:dyDescent="0.25">
      <c r="S859" s="60"/>
      <c r="T859" s="2"/>
      <c r="U859" s="29"/>
    </row>
    <row r="860" spans="19:21" ht="14.25" customHeight="1" x14ac:dyDescent="0.25">
      <c r="S860" s="60"/>
      <c r="T860" s="2"/>
      <c r="U860" s="29"/>
    </row>
    <row r="861" spans="19:21" ht="14.25" customHeight="1" x14ac:dyDescent="0.25">
      <c r="S861" s="60"/>
      <c r="T861" s="2"/>
      <c r="U861" s="29"/>
    </row>
    <row r="862" spans="19:21" ht="14.25" customHeight="1" x14ac:dyDescent="0.25">
      <c r="S862" s="60"/>
      <c r="T862" s="2"/>
      <c r="U862" s="29"/>
    </row>
    <row r="863" spans="19:21" ht="14.25" customHeight="1" x14ac:dyDescent="0.25">
      <c r="S863" s="60"/>
      <c r="T863" s="2"/>
      <c r="U863" s="29"/>
    </row>
    <row r="864" spans="19:21" ht="14.25" customHeight="1" x14ac:dyDescent="0.25">
      <c r="S864" s="60"/>
      <c r="T864" s="2"/>
      <c r="U864" s="29"/>
    </row>
    <row r="865" spans="19:21" ht="14.25" customHeight="1" x14ac:dyDescent="0.25">
      <c r="S865" s="60"/>
      <c r="T865" s="2"/>
      <c r="U865" s="29"/>
    </row>
    <row r="866" spans="19:21" ht="14.25" customHeight="1" x14ac:dyDescent="0.25">
      <c r="S866" s="60"/>
      <c r="T866" s="2"/>
      <c r="U866" s="29"/>
    </row>
    <row r="867" spans="19:21" ht="14.25" customHeight="1" x14ac:dyDescent="0.25">
      <c r="S867" s="60"/>
      <c r="T867" s="2"/>
      <c r="U867" s="29"/>
    </row>
    <row r="868" spans="19:21" ht="14.25" customHeight="1" x14ac:dyDescent="0.25">
      <c r="S868" s="60"/>
      <c r="T868" s="2"/>
      <c r="U868" s="29"/>
    </row>
    <row r="869" spans="19:21" ht="14.25" customHeight="1" x14ac:dyDescent="0.25">
      <c r="S869" s="60"/>
      <c r="T869" s="2"/>
      <c r="U869" s="29"/>
    </row>
    <row r="870" spans="19:21" ht="14.25" customHeight="1" x14ac:dyDescent="0.25">
      <c r="S870" s="60"/>
      <c r="T870" s="2"/>
      <c r="U870" s="29"/>
    </row>
    <row r="871" spans="19:21" ht="14.25" customHeight="1" x14ac:dyDescent="0.25">
      <c r="S871" s="60"/>
      <c r="T871" s="2"/>
      <c r="U871" s="29"/>
    </row>
    <row r="872" spans="19:21" ht="14.25" customHeight="1" x14ac:dyDescent="0.25">
      <c r="S872" s="60"/>
      <c r="T872" s="2"/>
      <c r="U872" s="29"/>
    </row>
    <row r="873" spans="19:21" ht="14.25" customHeight="1" x14ac:dyDescent="0.25">
      <c r="S873" s="60"/>
      <c r="T873" s="2"/>
      <c r="U873" s="29"/>
    </row>
    <row r="874" spans="19:21" ht="14.25" customHeight="1" x14ac:dyDescent="0.25">
      <c r="S874" s="60"/>
      <c r="T874" s="2"/>
      <c r="U874" s="29"/>
    </row>
    <row r="875" spans="19:21" ht="14.25" customHeight="1" x14ac:dyDescent="0.25">
      <c r="S875" s="60"/>
      <c r="T875" s="2"/>
      <c r="U875" s="29"/>
    </row>
    <row r="876" spans="19:21" ht="14.25" customHeight="1" x14ac:dyDescent="0.25">
      <c r="S876" s="60"/>
      <c r="T876" s="2"/>
      <c r="U876" s="29"/>
    </row>
    <row r="877" spans="19:21" ht="14.25" customHeight="1" x14ac:dyDescent="0.25">
      <c r="S877" s="60"/>
      <c r="T877" s="2"/>
      <c r="U877" s="29"/>
    </row>
    <row r="878" spans="19:21" ht="14.25" customHeight="1" x14ac:dyDescent="0.25">
      <c r="S878" s="60"/>
      <c r="T878" s="2"/>
      <c r="U878" s="29"/>
    </row>
    <row r="879" spans="19:21" ht="14.25" customHeight="1" x14ac:dyDescent="0.25">
      <c r="S879" s="60"/>
      <c r="T879" s="2"/>
      <c r="U879" s="29"/>
    </row>
    <row r="880" spans="19:21" ht="14.25" customHeight="1" x14ac:dyDescent="0.25">
      <c r="S880" s="60"/>
      <c r="T880" s="2"/>
      <c r="U880" s="29"/>
    </row>
    <row r="881" spans="19:21" ht="14.25" customHeight="1" x14ac:dyDescent="0.25">
      <c r="S881" s="60"/>
      <c r="T881" s="2"/>
      <c r="U881" s="29"/>
    </row>
    <row r="882" spans="19:21" ht="14.25" customHeight="1" x14ac:dyDescent="0.25">
      <c r="S882" s="60"/>
      <c r="T882" s="2"/>
      <c r="U882" s="29"/>
    </row>
    <row r="883" spans="19:21" ht="14.25" customHeight="1" x14ac:dyDescent="0.25">
      <c r="S883" s="60"/>
      <c r="T883" s="2"/>
      <c r="U883" s="29"/>
    </row>
    <row r="884" spans="19:21" ht="14.25" customHeight="1" x14ac:dyDescent="0.25">
      <c r="S884" s="60"/>
      <c r="T884" s="2"/>
      <c r="U884" s="29"/>
    </row>
    <row r="885" spans="19:21" ht="14.25" customHeight="1" x14ac:dyDescent="0.25">
      <c r="S885" s="60"/>
      <c r="T885" s="2"/>
      <c r="U885" s="29"/>
    </row>
    <row r="886" spans="19:21" ht="14.25" customHeight="1" x14ac:dyDescent="0.25">
      <c r="S886" s="60"/>
      <c r="T886" s="2"/>
      <c r="U886" s="29"/>
    </row>
    <row r="887" spans="19:21" ht="14.25" customHeight="1" x14ac:dyDescent="0.25">
      <c r="S887" s="60"/>
      <c r="T887" s="2"/>
      <c r="U887" s="29"/>
    </row>
    <row r="888" spans="19:21" ht="14.25" customHeight="1" x14ac:dyDescent="0.25">
      <c r="S888" s="60"/>
      <c r="T888" s="2"/>
      <c r="U888" s="29"/>
    </row>
    <row r="889" spans="19:21" ht="14.25" customHeight="1" x14ac:dyDescent="0.25">
      <c r="S889" s="60"/>
      <c r="T889" s="2"/>
      <c r="U889" s="29"/>
    </row>
    <row r="890" spans="19:21" ht="14.25" customHeight="1" x14ac:dyDescent="0.25">
      <c r="S890" s="60"/>
      <c r="T890" s="2"/>
      <c r="U890" s="29"/>
    </row>
    <row r="891" spans="19:21" ht="14.25" customHeight="1" x14ac:dyDescent="0.25">
      <c r="S891" s="60"/>
      <c r="T891" s="2"/>
      <c r="U891" s="29"/>
    </row>
    <row r="892" spans="19:21" ht="14.25" customHeight="1" x14ac:dyDescent="0.25">
      <c r="S892" s="60"/>
      <c r="T892" s="2"/>
      <c r="U892" s="29"/>
    </row>
    <row r="893" spans="19:21" ht="14.25" customHeight="1" x14ac:dyDescent="0.25">
      <c r="S893" s="60"/>
      <c r="T893" s="2"/>
      <c r="U893" s="29"/>
    </row>
    <row r="894" spans="19:21" ht="14.25" customHeight="1" x14ac:dyDescent="0.25">
      <c r="S894" s="60"/>
      <c r="T894" s="2"/>
      <c r="U894" s="29"/>
    </row>
    <row r="895" spans="19:21" ht="14.25" customHeight="1" x14ac:dyDescent="0.25">
      <c r="S895" s="60"/>
      <c r="T895" s="2"/>
      <c r="U895" s="29"/>
    </row>
    <row r="896" spans="19:21" ht="14.25" customHeight="1" x14ac:dyDescent="0.25">
      <c r="S896" s="60"/>
      <c r="T896" s="2"/>
      <c r="U896" s="29"/>
    </row>
    <row r="897" spans="19:21" ht="14.25" customHeight="1" x14ac:dyDescent="0.25">
      <c r="S897" s="60"/>
      <c r="T897" s="2"/>
      <c r="U897" s="29"/>
    </row>
    <row r="898" spans="19:21" ht="14.25" customHeight="1" x14ac:dyDescent="0.25">
      <c r="S898" s="60"/>
      <c r="T898" s="2"/>
      <c r="U898" s="29"/>
    </row>
    <row r="899" spans="19:21" ht="14.25" customHeight="1" x14ac:dyDescent="0.25">
      <c r="S899" s="60"/>
      <c r="T899" s="2"/>
      <c r="U899" s="29"/>
    </row>
    <row r="900" spans="19:21" ht="14.25" customHeight="1" x14ac:dyDescent="0.25">
      <c r="S900" s="60"/>
      <c r="T900" s="2"/>
      <c r="U900" s="29"/>
    </row>
    <row r="901" spans="19:21" ht="14.25" customHeight="1" x14ac:dyDescent="0.25">
      <c r="S901" s="60"/>
      <c r="T901" s="2"/>
      <c r="U901" s="29"/>
    </row>
    <row r="902" spans="19:21" ht="14.25" customHeight="1" x14ac:dyDescent="0.25">
      <c r="S902" s="60"/>
      <c r="T902" s="2"/>
      <c r="U902" s="29"/>
    </row>
    <row r="903" spans="19:21" ht="14.25" customHeight="1" x14ac:dyDescent="0.25">
      <c r="S903" s="60"/>
      <c r="T903" s="2"/>
      <c r="U903" s="29"/>
    </row>
    <row r="904" spans="19:21" ht="14.25" customHeight="1" x14ac:dyDescent="0.25">
      <c r="S904" s="60"/>
      <c r="T904" s="2"/>
      <c r="U904" s="29"/>
    </row>
    <row r="905" spans="19:21" ht="14.25" customHeight="1" x14ac:dyDescent="0.25">
      <c r="S905" s="60"/>
      <c r="T905" s="2"/>
      <c r="U905" s="29"/>
    </row>
    <row r="906" spans="19:21" ht="14.25" customHeight="1" x14ac:dyDescent="0.25">
      <c r="S906" s="60"/>
      <c r="T906" s="2"/>
      <c r="U906" s="29"/>
    </row>
    <row r="907" spans="19:21" ht="14.25" customHeight="1" x14ac:dyDescent="0.25">
      <c r="S907" s="60"/>
      <c r="T907" s="2"/>
      <c r="U907" s="29"/>
    </row>
    <row r="908" spans="19:21" ht="14.25" customHeight="1" x14ac:dyDescent="0.25">
      <c r="S908" s="60"/>
      <c r="T908" s="2"/>
      <c r="U908" s="29"/>
    </row>
    <row r="909" spans="19:21" ht="14.25" customHeight="1" x14ac:dyDescent="0.25">
      <c r="S909" s="60"/>
      <c r="T909" s="2"/>
      <c r="U909" s="29"/>
    </row>
    <row r="910" spans="19:21" ht="14.25" customHeight="1" x14ac:dyDescent="0.25">
      <c r="S910" s="60"/>
      <c r="T910" s="2"/>
      <c r="U910" s="29"/>
    </row>
    <row r="911" spans="19:21" ht="14.25" customHeight="1" x14ac:dyDescent="0.25">
      <c r="S911" s="60"/>
      <c r="T911" s="2"/>
      <c r="U911" s="29"/>
    </row>
    <row r="912" spans="19:21" ht="14.25" customHeight="1" x14ac:dyDescent="0.25">
      <c r="S912" s="60"/>
      <c r="T912" s="2"/>
      <c r="U912" s="29"/>
    </row>
    <row r="913" spans="19:21" ht="14.25" customHeight="1" x14ac:dyDescent="0.25">
      <c r="S913" s="60"/>
      <c r="T913" s="2"/>
      <c r="U913" s="29"/>
    </row>
    <row r="914" spans="19:21" ht="14.25" customHeight="1" x14ac:dyDescent="0.25">
      <c r="S914" s="60"/>
      <c r="T914" s="2"/>
      <c r="U914" s="29"/>
    </row>
    <row r="915" spans="19:21" ht="14.25" customHeight="1" x14ac:dyDescent="0.25">
      <c r="S915" s="60"/>
      <c r="T915" s="2"/>
      <c r="U915" s="29"/>
    </row>
    <row r="916" spans="19:21" ht="14.25" customHeight="1" x14ac:dyDescent="0.25">
      <c r="S916" s="60"/>
      <c r="T916" s="2"/>
      <c r="U916" s="29"/>
    </row>
    <row r="917" spans="19:21" ht="14.25" customHeight="1" x14ac:dyDescent="0.25">
      <c r="S917" s="60"/>
      <c r="T917" s="2"/>
      <c r="U917" s="29"/>
    </row>
    <row r="918" spans="19:21" ht="14.25" customHeight="1" x14ac:dyDescent="0.25">
      <c r="S918" s="60"/>
      <c r="T918" s="2"/>
      <c r="U918" s="29"/>
    </row>
    <row r="919" spans="19:21" ht="14.25" customHeight="1" x14ac:dyDescent="0.25">
      <c r="S919" s="60"/>
      <c r="T919" s="2"/>
      <c r="U919" s="29"/>
    </row>
    <row r="920" spans="19:21" ht="14.25" customHeight="1" x14ac:dyDescent="0.25">
      <c r="S920" s="60"/>
      <c r="T920" s="2"/>
      <c r="U920" s="29"/>
    </row>
    <row r="921" spans="19:21" ht="14.25" customHeight="1" x14ac:dyDescent="0.25">
      <c r="S921" s="60"/>
      <c r="T921" s="2"/>
      <c r="U921" s="29"/>
    </row>
    <row r="922" spans="19:21" ht="14.25" customHeight="1" x14ac:dyDescent="0.25">
      <c r="S922" s="60"/>
      <c r="T922" s="2"/>
      <c r="U922" s="29"/>
    </row>
    <row r="923" spans="19:21" ht="14.25" customHeight="1" x14ac:dyDescent="0.25">
      <c r="S923" s="60"/>
      <c r="T923" s="2"/>
      <c r="U923" s="29"/>
    </row>
    <row r="924" spans="19:21" ht="14.25" customHeight="1" x14ac:dyDescent="0.25">
      <c r="S924" s="60"/>
      <c r="T924" s="2"/>
      <c r="U924" s="29"/>
    </row>
    <row r="925" spans="19:21" ht="14.25" customHeight="1" x14ac:dyDescent="0.25">
      <c r="S925" s="60"/>
      <c r="T925" s="2"/>
      <c r="U925" s="29"/>
    </row>
    <row r="926" spans="19:21" ht="14.25" customHeight="1" x14ac:dyDescent="0.25">
      <c r="S926" s="60"/>
      <c r="T926" s="2"/>
      <c r="U926" s="29"/>
    </row>
    <row r="927" spans="19:21" ht="14.25" customHeight="1" x14ac:dyDescent="0.25">
      <c r="S927" s="60"/>
      <c r="T927" s="2"/>
      <c r="U927" s="29"/>
    </row>
    <row r="928" spans="19:21" ht="14.25" customHeight="1" x14ac:dyDescent="0.25">
      <c r="S928" s="60"/>
      <c r="T928" s="2"/>
      <c r="U928" s="29"/>
    </row>
    <row r="929" spans="19:21" ht="14.25" customHeight="1" x14ac:dyDescent="0.25">
      <c r="S929" s="60"/>
      <c r="T929" s="2"/>
      <c r="U929" s="29"/>
    </row>
    <row r="930" spans="19:21" ht="14.25" customHeight="1" x14ac:dyDescent="0.25">
      <c r="S930" s="60"/>
      <c r="T930" s="2"/>
      <c r="U930" s="29"/>
    </row>
    <row r="931" spans="19:21" ht="14.25" customHeight="1" x14ac:dyDescent="0.25">
      <c r="S931" s="60"/>
      <c r="T931" s="2"/>
      <c r="U931" s="29"/>
    </row>
    <row r="932" spans="19:21" ht="14.25" customHeight="1" x14ac:dyDescent="0.25">
      <c r="S932" s="60"/>
      <c r="T932" s="2"/>
      <c r="U932" s="29"/>
    </row>
    <row r="933" spans="19:21" ht="14.25" customHeight="1" x14ac:dyDescent="0.25">
      <c r="S933" s="60"/>
      <c r="T933" s="2"/>
      <c r="U933" s="29"/>
    </row>
    <row r="934" spans="19:21" ht="14.25" customHeight="1" x14ac:dyDescent="0.25">
      <c r="S934" s="60"/>
      <c r="T934" s="2"/>
      <c r="U934" s="29"/>
    </row>
    <row r="935" spans="19:21" ht="14.25" customHeight="1" x14ac:dyDescent="0.25">
      <c r="S935" s="60"/>
      <c r="T935" s="2"/>
      <c r="U935" s="29"/>
    </row>
    <row r="936" spans="19:21" ht="14.25" customHeight="1" x14ac:dyDescent="0.25">
      <c r="S936" s="60"/>
      <c r="T936" s="2"/>
      <c r="U936" s="29"/>
    </row>
    <row r="937" spans="19:21" ht="14.25" customHeight="1" x14ac:dyDescent="0.25">
      <c r="S937" s="60"/>
      <c r="T937" s="2"/>
      <c r="U937" s="29"/>
    </row>
    <row r="938" spans="19:21" ht="14.25" customHeight="1" x14ac:dyDescent="0.25">
      <c r="S938" s="60"/>
      <c r="T938" s="2"/>
      <c r="U938" s="29"/>
    </row>
    <row r="939" spans="19:21" ht="14.25" customHeight="1" x14ac:dyDescent="0.25">
      <c r="S939" s="60"/>
      <c r="T939" s="2"/>
      <c r="U939" s="29"/>
    </row>
    <row r="940" spans="19:21" ht="14.25" customHeight="1" x14ac:dyDescent="0.25">
      <c r="S940" s="60"/>
      <c r="T940" s="2"/>
      <c r="U940" s="29"/>
    </row>
    <row r="941" spans="19:21" ht="14.25" customHeight="1" x14ac:dyDescent="0.25">
      <c r="S941" s="60"/>
      <c r="T941" s="2"/>
      <c r="U941" s="29"/>
    </row>
    <row r="942" spans="19:21" ht="14.25" customHeight="1" x14ac:dyDescent="0.25">
      <c r="S942" s="60"/>
      <c r="T942" s="2"/>
      <c r="U942" s="29"/>
    </row>
    <row r="943" spans="19:21" ht="14.25" customHeight="1" x14ac:dyDescent="0.25">
      <c r="S943" s="60"/>
      <c r="T943" s="2"/>
      <c r="U943" s="29"/>
    </row>
    <row r="944" spans="19:21" ht="14.25" customHeight="1" x14ac:dyDescent="0.25">
      <c r="S944" s="60"/>
      <c r="T944" s="2"/>
      <c r="U944" s="29"/>
    </row>
    <row r="945" spans="19:21" ht="14.25" customHeight="1" x14ac:dyDescent="0.25">
      <c r="S945" s="60"/>
      <c r="T945" s="2"/>
      <c r="U945" s="29"/>
    </row>
    <row r="946" spans="19:21" ht="14.25" customHeight="1" x14ac:dyDescent="0.25">
      <c r="S946" s="60"/>
      <c r="T946" s="2"/>
      <c r="U946" s="29"/>
    </row>
    <row r="947" spans="19:21" ht="14.25" customHeight="1" x14ac:dyDescent="0.25">
      <c r="S947" s="60"/>
      <c r="T947" s="2"/>
      <c r="U947" s="29"/>
    </row>
    <row r="948" spans="19:21" ht="14.25" customHeight="1" x14ac:dyDescent="0.25">
      <c r="S948" s="60"/>
      <c r="T948" s="2"/>
      <c r="U948" s="29"/>
    </row>
    <row r="949" spans="19:21" ht="14.25" customHeight="1" x14ac:dyDescent="0.25">
      <c r="S949" s="60"/>
      <c r="T949" s="2"/>
      <c r="U949" s="29"/>
    </row>
    <row r="950" spans="19:21" ht="14.25" customHeight="1" x14ac:dyDescent="0.25">
      <c r="S950" s="60"/>
      <c r="T950" s="2"/>
      <c r="U950" s="29"/>
    </row>
    <row r="951" spans="19:21" ht="14.25" customHeight="1" x14ac:dyDescent="0.25">
      <c r="S951" s="60"/>
      <c r="T951" s="2"/>
      <c r="U951" s="29"/>
    </row>
    <row r="952" spans="19:21" ht="14.25" customHeight="1" x14ac:dyDescent="0.25">
      <c r="S952" s="60"/>
      <c r="T952" s="2"/>
      <c r="U952" s="29"/>
    </row>
    <row r="953" spans="19:21" ht="14.25" customHeight="1" x14ac:dyDescent="0.25">
      <c r="S953" s="60"/>
      <c r="T953" s="2"/>
      <c r="U953" s="29"/>
    </row>
    <row r="954" spans="19:21" ht="14.25" customHeight="1" x14ac:dyDescent="0.25">
      <c r="S954" s="60"/>
      <c r="T954" s="2"/>
      <c r="U954" s="29"/>
    </row>
    <row r="955" spans="19:21" ht="14.25" customHeight="1" x14ac:dyDescent="0.25">
      <c r="S955" s="60"/>
      <c r="T955" s="2"/>
      <c r="U955" s="29"/>
    </row>
    <row r="956" spans="19:21" ht="14.25" customHeight="1" x14ac:dyDescent="0.25">
      <c r="S956" s="60"/>
      <c r="T956" s="2"/>
      <c r="U956" s="29"/>
    </row>
    <row r="957" spans="19:21" ht="14.25" customHeight="1" x14ac:dyDescent="0.25">
      <c r="S957" s="60"/>
      <c r="T957" s="2"/>
      <c r="U957" s="29"/>
    </row>
    <row r="958" spans="19:21" ht="14.25" customHeight="1" x14ac:dyDescent="0.25">
      <c r="S958" s="60"/>
      <c r="T958" s="2"/>
      <c r="U958" s="29"/>
    </row>
    <row r="959" spans="19:21" ht="14.25" customHeight="1" x14ac:dyDescent="0.25">
      <c r="S959" s="60"/>
      <c r="T959" s="2"/>
      <c r="U959" s="29"/>
    </row>
    <row r="960" spans="19:21" ht="14.25" customHeight="1" x14ac:dyDescent="0.25">
      <c r="S960" s="60"/>
      <c r="T960" s="2"/>
      <c r="U960" s="29"/>
    </row>
    <row r="961" spans="19:21" ht="14.25" customHeight="1" x14ac:dyDescent="0.25">
      <c r="S961" s="60"/>
      <c r="T961" s="2"/>
      <c r="U961" s="29"/>
    </row>
    <row r="962" spans="19:21" ht="14.25" customHeight="1" x14ac:dyDescent="0.25">
      <c r="S962" s="60"/>
      <c r="T962" s="2"/>
      <c r="U962" s="29"/>
    </row>
    <row r="963" spans="19:21" ht="14.25" customHeight="1" x14ac:dyDescent="0.25">
      <c r="S963" s="60"/>
      <c r="T963" s="2"/>
      <c r="U963" s="29"/>
    </row>
    <row r="964" spans="19:21" ht="14.25" customHeight="1" x14ac:dyDescent="0.25">
      <c r="S964" s="60"/>
      <c r="T964" s="2"/>
      <c r="U964" s="29"/>
    </row>
    <row r="965" spans="19:21" ht="14.25" customHeight="1" x14ac:dyDescent="0.25">
      <c r="S965" s="60"/>
      <c r="T965" s="2"/>
      <c r="U965" s="29"/>
    </row>
    <row r="966" spans="19:21" ht="14.25" customHeight="1" x14ac:dyDescent="0.25">
      <c r="S966" s="60"/>
      <c r="T966" s="2"/>
      <c r="U966" s="29"/>
    </row>
    <row r="967" spans="19:21" ht="14.25" customHeight="1" x14ac:dyDescent="0.25">
      <c r="S967" s="60"/>
      <c r="T967" s="2"/>
      <c r="U967" s="29"/>
    </row>
    <row r="968" spans="19:21" ht="14.25" customHeight="1" x14ac:dyDescent="0.25">
      <c r="S968" s="60"/>
      <c r="T968" s="2"/>
      <c r="U968" s="29"/>
    </row>
    <row r="969" spans="19:21" ht="14.25" customHeight="1" x14ac:dyDescent="0.25">
      <c r="S969" s="60"/>
      <c r="T969" s="2"/>
      <c r="U969" s="29"/>
    </row>
    <row r="970" spans="19:21" ht="14.25" customHeight="1" x14ac:dyDescent="0.25">
      <c r="S970" s="60"/>
      <c r="T970" s="2"/>
      <c r="U970" s="29"/>
    </row>
    <row r="971" spans="19:21" ht="14.25" customHeight="1" x14ac:dyDescent="0.25">
      <c r="S971" s="60"/>
      <c r="T971" s="2"/>
      <c r="U971" s="29"/>
    </row>
    <row r="972" spans="19:21" ht="14.25" customHeight="1" x14ac:dyDescent="0.25">
      <c r="S972" s="60"/>
      <c r="T972" s="2"/>
      <c r="U972" s="29"/>
    </row>
    <row r="973" spans="19:21" ht="14.25" customHeight="1" x14ac:dyDescent="0.25">
      <c r="S973" s="60"/>
      <c r="T973" s="2"/>
      <c r="U973" s="29"/>
    </row>
    <row r="974" spans="19:21" ht="14.25" customHeight="1" x14ac:dyDescent="0.25">
      <c r="S974" s="60"/>
      <c r="T974" s="2"/>
      <c r="U974" s="29"/>
    </row>
    <row r="975" spans="19:21" ht="14.25" customHeight="1" x14ac:dyDescent="0.25">
      <c r="S975" s="60"/>
      <c r="T975" s="2"/>
      <c r="U975" s="29"/>
    </row>
    <row r="976" spans="19:21" ht="14.25" customHeight="1" x14ac:dyDescent="0.25">
      <c r="S976" s="60"/>
      <c r="T976" s="2"/>
      <c r="U976" s="29"/>
    </row>
    <row r="977" spans="19:21" ht="14.25" customHeight="1" x14ac:dyDescent="0.25">
      <c r="S977" s="60"/>
      <c r="T977" s="2"/>
      <c r="U977" s="29"/>
    </row>
    <row r="978" spans="19:21" ht="14.25" customHeight="1" x14ac:dyDescent="0.25">
      <c r="S978" s="60"/>
      <c r="T978" s="2"/>
      <c r="U978" s="29"/>
    </row>
    <row r="979" spans="19:21" ht="14.25" customHeight="1" x14ac:dyDescent="0.25">
      <c r="S979" s="60"/>
      <c r="T979" s="2"/>
      <c r="U979" s="29"/>
    </row>
    <row r="980" spans="19:21" ht="14.25" customHeight="1" x14ac:dyDescent="0.25">
      <c r="S980" s="60"/>
      <c r="T980" s="2"/>
      <c r="U980" s="29"/>
    </row>
    <row r="981" spans="19:21" ht="14.25" customHeight="1" x14ac:dyDescent="0.25">
      <c r="S981" s="60"/>
      <c r="T981" s="2"/>
      <c r="U981" s="29"/>
    </row>
    <row r="982" spans="19:21" ht="14.25" customHeight="1" x14ac:dyDescent="0.25">
      <c r="S982" s="60"/>
      <c r="T982" s="2"/>
      <c r="U982" s="29"/>
    </row>
    <row r="983" spans="19:21" ht="14.25" customHeight="1" x14ac:dyDescent="0.25">
      <c r="S983" s="60"/>
      <c r="T983" s="2"/>
      <c r="U983" s="29"/>
    </row>
    <row r="984" spans="19:21" ht="14.25" customHeight="1" x14ac:dyDescent="0.25">
      <c r="S984" s="60"/>
      <c r="T984" s="2"/>
      <c r="U984" s="29"/>
    </row>
    <row r="985" spans="19:21" ht="14.25" customHeight="1" x14ac:dyDescent="0.25">
      <c r="S985" s="60"/>
      <c r="T985" s="2"/>
      <c r="U985" s="29"/>
    </row>
    <row r="986" spans="19:21" ht="14.25" customHeight="1" x14ac:dyDescent="0.25">
      <c r="S986" s="60"/>
      <c r="T986" s="2"/>
      <c r="U986" s="29"/>
    </row>
    <row r="987" spans="19:21" ht="14.25" customHeight="1" x14ac:dyDescent="0.25">
      <c r="S987" s="60"/>
      <c r="T987" s="2"/>
      <c r="U987" s="29"/>
    </row>
    <row r="988" spans="19:21" ht="14.25" customHeight="1" x14ac:dyDescent="0.25">
      <c r="S988" s="60"/>
      <c r="T988" s="2"/>
      <c r="U988" s="29"/>
    </row>
    <row r="989" spans="19:21" ht="14.25" customHeight="1" x14ac:dyDescent="0.25">
      <c r="S989" s="60"/>
      <c r="T989" s="2"/>
      <c r="U989" s="29"/>
    </row>
    <row r="990" spans="19:21" ht="14.25" customHeight="1" x14ac:dyDescent="0.25">
      <c r="S990" s="60"/>
      <c r="T990" s="2"/>
      <c r="U990" s="29"/>
    </row>
    <row r="991" spans="19:21" ht="14.25" customHeight="1" x14ac:dyDescent="0.25">
      <c r="S991" s="60"/>
      <c r="T991" s="2"/>
      <c r="U991" s="29"/>
    </row>
    <row r="992" spans="19:21" ht="14.25" customHeight="1" x14ac:dyDescent="0.25">
      <c r="S992" s="60"/>
      <c r="T992" s="2"/>
      <c r="U992" s="29"/>
    </row>
    <row r="993" spans="19:21" ht="14.25" customHeight="1" x14ac:dyDescent="0.25">
      <c r="S993" s="60"/>
      <c r="T993" s="2"/>
      <c r="U993" s="29"/>
    </row>
    <row r="994" spans="19:21" ht="14.25" customHeight="1" x14ac:dyDescent="0.25">
      <c r="S994" s="60"/>
      <c r="T994" s="2"/>
      <c r="U994" s="29"/>
    </row>
    <row r="995" spans="19:21" ht="14.25" customHeight="1" x14ac:dyDescent="0.25">
      <c r="S995" s="60"/>
      <c r="T995" s="2"/>
      <c r="U995" s="29"/>
    </row>
    <row r="996" spans="19:21" ht="14.25" customHeight="1" x14ac:dyDescent="0.25">
      <c r="S996" s="60"/>
      <c r="T996" s="2"/>
      <c r="U996" s="29"/>
    </row>
    <row r="997" spans="19:21" ht="14.25" customHeight="1" x14ac:dyDescent="0.25">
      <c r="S997" s="60"/>
      <c r="T997" s="2"/>
      <c r="U997" s="29"/>
    </row>
    <row r="998" spans="19:21" ht="14.25" customHeight="1" x14ac:dyDescent="0.25">
      <c r="S998" s="60"/>
      <c r="T998" s="2"/>
      <c r="U998" s="29"/>
    </row>
    <row r="999" spans="19:21" ht="14.25" customHeight="1" x14ac:dyDescent="0.25">
      <c r="S999" s="60"/>
      <c r="T999" s="2"/>
      <c r="U999" s="29"/>
    </row>
    <row r="1000" spans="19:21" ht="14.25" customHeight="1" x14ac:dyDescent="0.25">
      <c r="S1000" s="60"/>
      <c r="T1000" s="2"/>
      <c r="U1000" s="29"/>
    </row>
  </sheetData>
  <mergeCells count="3">
    <mergeCell ref="B2:F2"/>
    <mergeCell ref="G2:L2"/>
    <mergeCell ref="M2:R2"/>
  </mergeCells>
  <pageMargins left="0.7" right="0.7" top="0.75" bottom="0.75" header="0.3" footer="0.3"/>
  <ignoredErrors>
    <ignoredError sqref="S5:S4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ИОП-ИТ-24-2 (3 семестр) 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Исанчурина Гульназ Маратовна</dc:creator>
  <cp:lastModifiedBy>Семенов Михаил Евгеньевич</cp:lastModifiedBy>
  <dcterms:created xsi:type="dcterms:W3CDTF">2015-06-05T18:19:34Z</dcterms:created>
  <dcterms:modified xsi:type="dcterms:W3CDTF">2026-04-06T15:26:05Z</dcterms:modified>
</cp:coreProperties>
</file>